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ly Renewals" sheetId="2" state="visible" r:id="rId2"/>
    <sheet xmlns:r="http://schemas.openxmlformats.org/officeDocument/2006/relationships" name="Policy Register" sheetId="3" state="visible" r:id="rId3"/>
    <sheet xmlns:r="http://schemas.openxmlformats.org/officeDocument/2006/relationships" name="Activity Log" sheetId="4" state="visible" r:id="rId4"/>
    <sheet xmlns:r="http://schemas.openxmlformats.org/officeDocument/2006/relationships" name="Setup Guide" sheetId="5" state="visible" r:id="rId5"/>
    <sheet xmlns:r="http://schemas.openxmlformats.org/officeDocument/2006/relationships" name="Apps Script Backup" sheetId="6" state="visible" r:id="rId6"/>
  </sheets>
  <definedNames>
    <definedName name="_xlnm._FilterDatabase" localSheetId="2" hidden="1">'Policy Register'!$B$4:$J$304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 mmm\ yyyy"/>
    <numFmt numFmtId="165" formatCode="mm/dd/yy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Inter"/>
      <charset val="1"/>
      <family val="0"/>
      <b val="1"/>
      <color rgb="FFFFFFFF"/>
      <sz val="16"/>
    </font>
    <font>
      <name val="Inter"/>
      <charset val="1"/>
      <family val="0"/>
      <color rgb="FFFFE6A7"/>
      <sz val="10"/>
    </font>
    <font>
      <name val="Inter"/>
      <charset val="1"/>
      <family val="0"/>
      <color rgb="FF8A7A6D"/>
      <sz val="9"/>
    </font>
    <font>
      <name val="Inter"/>
      <charset val="1"/>
      <family val="0"/>
      <b val="1"/>
      <color rgb="FFFFFFFF"/>
      <sz val="8"/>
    </font>
    <font>
      <name val="Inter"/>
      <charset val="1"/>
      <family val="0"/>
      <b val="1"/>
      <color rgb="FF9F7E4A"/>
      <sz val="8"/>
    </font>
    <font>
      <name val="Inter"/>
      <charset val="1"/>
      <family val="0"/>
      <b val="1"/>
      <color rgb="FF824B24"/>
      <sz val="8"/>
    </font>
    <font>
      <name val="Inter"/>
      <charset val="1"/>
      <family val="0"/>
      <b val="1"/>
      <color rgb="FFFFFFFF"/>
      <sz val="22"/>
    </font>
    <font>
      <name val="Inter"/>
      <charset val="1"/>
      <family val="0"/>
      <b val="1"/>
      <color rgb="FF9F7E4A"/>
      <sz val="22"/>
    </font>
    <font>
      <name val="Inter"/>
      <charset val="1"/>
      <family val="0"/>
      <b val="1"/>
      <color rgb="FF824B24"/>
      <sz val="22"/>
    </font>
    <font>
      <name val="Inter"/>
      <charset val="1"/>
      <family val="0"/>
      <color rgb="FFA1948C"/>
      <sz val="8"/>
    </font>
    <font>
      <name val="Inter"/>
      <charset val="1"/>
      <family val="0"/>
      <color rgb="FFB28D53"/>
      <sz val="8"/>
    </font>
    <font>
      <name val="Inter"/>
      <charset val="1"/>
      <family val="0"/>
      <color rgb="FF915428"/>
      <sz val="8"/>
    </font>
    <font>
      <name val="Inter"/>
      <charset val="1"/>
      <family val="0"/>
      <color rgb="FFB78E8D"/>
      <sz val="8"/>
    </font>
    <font>
      <name val="Inter"/>
      <charset val="1"/>
      <family val="0"/>
      <b val="1"/>
      <color rgb="FF5E1917"/>
      <sz val="8"/>
    </font>
    <font>
      <name val="Inter"/>
      <charset val="1"/>
      <family val="0"/>
      <b val="1"/>
      <color rgb="FF5E1917"/>
      <sz val="22"/>
    </font>
    <font>
      <name val="Inter"/>
      <charset val="1"/>
      <family val="0"/>
      <color rgb="FF691C1A"/>
      <sz val="8"/>
    </font>
    <font>
      <name val="Inter"/>
      <charset val="1"/>
      <family val="0"/>
      <b val="1"/>
      <color rgb="FF2B1810"/>
      <sz val="9"/>
    </font>
    <font>
      <name val="Inter"/>
      <charset val="1"/>
      <family val="0"/>
      <b val="1"/>
      <color rgb="FFFFFFFF"/>
      <sz val="9"/>
    </font>
    <font>
      <name val="Inter"/>
      <charset val="1"/>
      <family val="0"/>
      <b val="1"/>
      <color rgb="FF8A7A6D"/>
      <sz val="8"/>
    </font>
    <font>
      <name val="Inter"/>
      <charset val="1"/>
      <family val="0"/>
      <color rgb="FF2B1810"/>
      <sz val="9"/>
    </font>
    <font>
      <name val="Inter"/>
      <charset val="1"/>
      <family val="0"/>
      <b val="1"/>
      <color rgb="FFFFFFFF"/>
      <sz val="15"/>
    </font>
    <font>
      <name val="Inter"/>
      <charset val="1"/>
      <family val="0"/>
      <color rgb="FF8A7A6D"/>
      <sz val="7"/>
    </font>
    <font>
      <name val="Inter"/>
      <charset val="1"/>
      <family val="0"/>
      <b val="1"/>
      <color rgb="FFFFFFFF"/>
      <sz val="10"/>
    </font>
    <font>
      <name val="Inter"/>
      <charset val="1"/>
      <family val="0"/>
      <b val="1"/>
      <color rgb="FF8A7A6D"/>
      <sz val="9"/>
    </font>
    <font>
      <name val="Inter"/>
      <charset val="1"/>
      <family val="0"/>
      <b val="1"/>
      <color rgb="FF8A7A6D"/>
      <sz val="7"/>
    </font>
    <font>
      <name val="Inter"/>
      <charset val="1"/>
      <family val="0"/>
      <i val="1"/>
      <color rgb="FF8A7A6D"/>
      <sz val="10"/>
    </font>
    <font>
      <name val="Inter"/>
      <charset val="1"/>
      <family val="0"/>
      <color rgb="FF2B1810"/>
      <sz val="10"/>
    </font>
    <font>
      <name val="Inter"/>
      <charset val="1"/>
      <family val="0"/>
      <b val="1"/>
      <color rgb="FFFFFFFF"/>
      <sz val="12"/>
    </font>
    <font>
      <name val="Inter"/>
      <charset val="1"/>
      <family val="0"/>
      <b val="1"/>
      <color rgb="FF2B1810"/>
      <sz val="11"/>
    </font>
    <font>
      <name val="Inter"/>
      <charset val="1"/>
      <family val="0"/>
      <b val="1"/>
      <color rgb="FF6F1D1B"/>
      <sz val="10"/>
    </font>
    <font>
      <name val="Inter"/>
      <charset val="1"/>
      <family val="0"/>
      <b val="1"/>
      <color rgb="FFFFFFFF"/>
      <sz val="14"/>
    </font>
    <font>
      <name val="Consolas"/>
      <charset val="1"/>
      <family val="0"/>
      <color rgb="FF2B1810"/>
      <sz val="9"/>
    </font>
  </fonts>
  <fills count="29">
    <fill>
      <patternFill/>
    </fill>
    <fill>
      <patternFill patternType="gray125"/>
    </fill>
    <fill>
      <patternFill patternType="solid">
        <fgColor rgb="FFFDFBF7"/>
        <bgColor rgb="FFFCFBF8"/>
      </patternFill>
    </fill>
    <fill>
      <patternFill patternType="solid">
        <fgColor rgb="FF432818"/>
        <bgColor rgb="FF2B1810"/>
      </patternFill>
    </fill>
    <fill>
      <patternFill patternType="solid">
        <fgColor rgb="FFFFF4D7"/>
        <bgColor rgb="FFFFF2D3"/>
      </patternFill>
    </fill>
    <fill>
      <patternFill patternType="solid">
        <fgColor rgb="FFF5EFE6"/>
        <bgColor rgb="FFF5EEEA"/>
      </patternFill>
    </fill>
    <fill>
      <patternFill patternType="solid">
        <fgColor rgb="FFF0E6DF"/>
        <bgColor rgb="FFEEE4E4"/>
      </patternFill>
    </fill>
    <fill>
      <patternFill patternType="solid">
        <fgColor rgb="FF6F1D1B"/>
        <bgColor rgb="FF691C1A"/>
      </patternFill>
    </fill>
    <fill>
      <patternFill patternType="solid">
        <fgColor rgb="FFE9DDDD"/>
        <bgColor rgb="FFEEE4E4"/>
      </patternFill>
    </fill>
    <fill>
      <patternFill patternType="solid">
        <fgColor rgb="FFF3ECE1"/>
        <bgColor rgb="FFF1EADD"/>
      </patternFill>
    </fill>
    <fill>
      <patternFill patternType="solid">
        <fgColor rgb="FFFAF8F3"/>
        <bgColor rgb="FFFBF8F6"/>
      </patternFill>
    </fill>
    <fill>
      <patternFill patternType="solid">
        <fgColor rgb="FFF1E8E8"/>
        <bgColor rgb="FFEDEBE9"/>
      </patternFill>
    </fill>
    <fill>
      <patternFill patternType="solid">
        <fgColor rgb="FFFFFFFF"/>
        <bgColor rgb="FFFCFBF8"/>
      </patternFill>
    </fill>
    <fill>
      <patternFill patternType="solid">
        <fgColor rgb="FFFBF9F5"/>
        <bgColor rgb="FFFBF8F6"/>
      </patternFill>
    </fill>
    <fill>
      <patternFill patternType="solid">
        <fgColor rgb="FFF6F1F1"/>
        <bgColor rgb="FFF8F3F0"/>
      </patternFill>
    </fill>
    <fill>
      <patternFill patternType="solid">
        <fgColor rgb="FF99582A"/>
        <bgColor rgb="FF915428"/>
      </patternFill>
    </fill>
    <fill>
      <patternFill patternType="solid">
        <fgColor rgb="FF8A4F26"/>
        <bgColor rgb="FF824B24"/>
      </patternFill>
    </fill>
    <fill>
      <patternFill patternType="solid">
        <fgColor rgb="FFF8F3F0"/>
        <bgColor rgb="FFF6F1F1"/>
      </patternFill>
    </fill>
    <fill>
      <patternFill patternType="solid">
        <fgColor rgb="FFF5EEEA"/>
        <bgColor rgb="FFF5EFE6"/>
      </patternFill>
    </fill>
    <fill>
      <patternFill patternType="solid">
        <fgColor rgb="FFFBF8F6"/>
        <bgColor rgb="FFFBF9F5"/>
      </patternFill>
    </fill>
    <fill>
      <patternFill patternType="solid">
        <fgColor rgb="FFEEE4E4"/>
        <bgColor rgb="FFF0E6DF"/>
      </patternFill>
    </fill>
    <fill>
      <patternFill patternType="solid">
        <fgColor rgb="FFEDEBE9"/>
        <bgColor rgb="FFF1E8E8"/>
      </patternFill>
    </fill>
    <fill>
      <patternFill patternType="solid">
        <fgColor rgb="FF8C6F41"/>
        <bgColor rgb="FF7A6039"/>
      </patternFill>
    </fill>
    <fill>
      <patternFill patternType="solid">
        <fgColor rgb="FFFCFAF7"/>
        <bgColor rgb="FFFCFBF8"/>
      </patternFill>
    </fill>
    <fill>
      <patternFill patternType="solid">
        <fgColor rgb="FFE8E5E3"/>
        <bgColor rgb="FFEEE4E4"/>
      </patternFill>
    </fill>
    <fill>
      <patternFill patternType="solid">
        <fgColor rgb="FF641A18"/>
        <bgColor rgb="FF691C1A"/>
      </patternFill>
    </fill>
    <fill>
      <patternFill patternType="solid">
        <fgColor rgb="FFFFF2D3"/>
        <bgColor rgb="FFFFF4D7"/>
      </patternFill>
    </fill>
    <fill>
      <patternFill patternType="solid">
        <fgColor rgb="FFFFF8E5"/>
        <bgColor rgb="FFFAF8F3"/>
      </patternFill>
    </fill>
    <fill>
      <patternFill patternType="solid">
        <fgColor rgb="FFFCFBF8"/>
        <bgColor rgb="FFFDFBF7"/>
      </patternFill>
    </fill>
  </fills>
  <borders count="5">
    <border>
      <left/>
      <right/>
      <top/>
      <bottom/>
      <diagonal/>
    </border>
    <border>
      <left/>
      <right/>
      <top style="thick">
        <color rgb="FF432818"/>
      </top>
      <bottom/>
      <diagonal/>
    </border>
    <border>
      <left/>
      <right/>
      <top style="thick">
        <color rgb="FFBB9457"/>
      </top>
      <bottom/>
      <diagonal/>
    </border>
    <border>
      <left/>
      <right/>
      <top style="thick">
        <color rgb="FF99582A"/>
      </top>
      <bottom/>
      <diagonal/>
    </border>
    <border>
      <left/>
      <right/>
      <top style="thick">
        <color rgb="FF6F1D1B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6" borderId="3" applyAlignment="1" pivotButton="0" quotePrefix="0" xfId="0">
      <alignment horizontal="left" vertical="center"/>
    </xf>
    <xf numFmtId="0" fontId="7" fillId="7" borderId="4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7" fillId="8" borderId="4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164" fontId="23" fillId="12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left" vertical="bottom" indent="1"/>
    </xf>
    <xf numFmtId="1" fontId="23" fillId="12" borderId="0" applyAlignment="1" pivotButton="0" quotePrefix="0" xfId="0">
      <alignment horizontal="right" vertical="bottom" indent="2"/>
    </xf>
    <xf numFmtId="0" fontId="23" fillId="13" borderId="0" applyAlignment="1" pivotButton="0" quotePrefix="0" xfId="0">
      <alignment horizontal="general" vertical="bottom"/>
    </xf>
    <xf numFmtId="164" fontId="23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left" vertical="bottom" indent="1"/>
    </xf>
    <xf numFmtId="0" fontId="23" fillId="14" borderId="0" applyAlignment="1" pivotButton="0" quotePrefix="0" xfId="0">
      <alignment horizontal="general" vertical="bottom"/>
    </xf>
    <xf numFmtId="0" fontId="23" fillId="14" borderId="0" applyAlignment="1" pivotButton="0" quotePrefix="0" xfId="0">
      <alignment horizontal="right" vertical="bottom" indent="2"/>
    </xf>
    <xf numFmtId="0" fontId="23" fillId="14" borderId="0" applyAlignment="1" pivotButton="0" quotePrefix="0" xfId="0">
      <alignment horizontal="left" vertical="bottom" indent="1"/>
    </xf>
    <xf numFmtId="0" fontId="23" fillId="12" borderId="0" applyAlignment="1" pivotButton="0" quotePrefix="0" xfId="0">
      <alignment horizontal="right" vertical="bottom" indent="2"/>
    </xf>
    <xf numFmtId="0" fontId="20" fillId="4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1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5" fontId="25" fillId="2" borderId="0" applyAlignment="1" pivotButton="0" quotePrefix="0" xfId="0">
      <alignment horizontal="general" vertical="bottom"/>
    </xf>
    <xf numFmtId="0" fontId="26" fillId="16" borderId="0" applyAlignment="1" pivotButton="0" quotePrefix="0" xfId="0">
      <alignment horizontal="left" vertical="center"/>
    </xf>
    <xf numFmtId="0" fontId="27" fillId="17" borderId="0" applyAlignment="1" pivotButton="0" quotePrefix="0" xfId="0">
      <alignment horizontal="left" vertical="center"/>
    </xf>
    <xf numFmtId="0" fontId="28" fillId="18" borderId="0" applyAlignment="1" pivotButton="0" quotePrefix="0" xfId="0">
      <alignment horizontal="general" vertical="bottom"/>
    </xf>
    <xf numFmtId="0" fontId="23" fillId="19" borderId="0" applyAlignment="1" pivotButton="0" quotePrefix="0" xfId="0">
      <alignment horizontal="general" vertical="bottom"/>
    </xf>
    <xf numFmtId="164" fontId="23" fillId="19" borderId="0" applyAlignment="1" pivotButton="0" quotePrefix="0" xfId="0">
      <alignment horizontal="general" vertical="bottom"/>
    </xf>
    <xf numFmtId="0" fontId="24" fillId="7" borderId="0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/>
    </xf>
    <xf numFmtId="0" fontId="21" fillId="3" borderId="2" applyAlignment="1" pivotButton="0" quotePrefix="0" xfId="0">
      <alignment horizontal="left" vertical="center"/>
    </xf>
    <xf numFmtId="0" fontId="28" fillId="21" borderId="0" applyAlignment="1" pivotButton="0" quotePrefix="0" xfId="0">
      <alignment horizontal="general" vertical="bottom"/>
    </xf>
    <xf numFmtId="0" fontId="29" fillId="10" borderId="0" applyAlignment="1" pivotButton="0" quotePrefix="0" xfId="0">
      <alignment horizontal="left" vertical="center"/>
    </xf>
    <xf numFmtId="164" fontId="29" fillId="10" borderId="0" applyAlignment="1" pivotButton="0" quotePrefix="0" xfId="0">
      <alignment horizontal="left" vertical="center"/>
    </xf>
    <xf numFmtId="1" fontId="30" fillId="10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general" vertical="bottom"/>
    </xf>
    <xf numFmtId="0" fontId="29" fillId="12" borderId="0" applyAlignment="1" pivotButton="0" quotePrefix="0" xfId="0">
      <alignment horizontal="left" vertical="center"/>
    </xf>
    <xf numFmtId="164" fontId="29" fillId="12" borderId="0" applyAlignment="1" pivotButton="0" quotePrefix="0" xfId="0">
      <alignment horizontal="left" vertical="center"/>
    </xf>
    <xf numFmtId="1" fontId="30" fillId="12" borderId="0" applyAlignment="1" pivotButton="0" quotePrefix="0" xfId="0">
      <alignment horizontal="left" vertical="center"/>
    </xf>
    <xf numFmtId="0" fontId="30" fillId="12" borderId="0" applyAlignment="1" pivotButton="0" quotePrefix="0" xfId="0">
      <alignment horizontal="left" vertical="center"/>
    </xf>
    <xf numFmtId="164" fontId="30" fillId="12" borderId="0" applyAlignment="1" pivotButton="0" quotePrefix="0" xfId="0">
      <alignment horizontal="left" vertical="center"/>
    </xf>
    <xf numFmtId="0" fontId="30" fillId="10" borderId="0" applyAlignment="1" pivotButton="0" quotePrefix="0" xfId="0">
      <alignment horizontal="left" vertical="center"/>
    </xf>
    <xf numFmtId="164" fontId="30" fillId="10" borderId="0" applyAlignment="1" pivotButton="0" quotePrefix="0" xfId="0">
      <alignment horizontal="left" vertical="center"/>
    </xf>
    <xf numFmtId="0" fontId="24" fillId="22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21" fillId="3" borderId="2" applyAlignment="1" pivotButton="0" quotePrefix="0" xfId="0">
      <alignment horizontal="general" vertical="bottom"/>
    </xf>
    <xf numFmtId="0" fontId="23" fillId="23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left" vertical="center"/>
    </xf>
    <xf numFmtId="0" fontId="6" fillId="24" borderId="0" applyAlignment="1" pivotButton="0" quotePrefix="0" xfId="0">
      <alignment horizontal="left" vertical="center"/>
    </xf>
    <xf numFmtId="0" fontId="31" fillId="7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left" vertical="center" indent="1"/>
    </xf>
    <xf numFmtId="0" fontId="30" fillId="10" borderId="0" applyAlignment="1" pivotButton="0" quotePrefix="0" xfId="0">
      <alignment horizontal="left" vertical="center" wrapText="1" indent="1"/>
    </xf>
    <xf numFmtId="0" fontId="26" fillId="25" borderId="0" applyAlignment="1" pivotButton="0" quotePrefix="0" xfId="0">
      <alignment horizontal="left" vertical="center"/>
    </xf>
    <xf numFmtId="0" fontId="33" fillId="26" borderId="0" applyAlignment="1" pivotButton="0" quotePrefix="0" xfId="0">
      <alignment horizontal="general" vertical="bottom"/>
    </xf>
    <xf numFmtId="0" fontId="23" fillId="27" borderId="0" applyAlignment="1" pivotButton="0" quotePrefix="0" xfId="0">
      <alignment horizontal="general" vertical="bottom"/>
    </xf>
    <xf numFmtId="0" fontId="26" fillId="25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0" fontId="35" fillId="12" borderId="0" applyAlignment="1" pivotButton="0" quotePrefix="0" xfId="0">
      <alignment horizontal="general" vertical="bottom"/>
    </xf>
    <xf numFmtId="0" fontId="35" fillId="28" borderId="0" applyAlignment="1" pivotButton="0" quotePrefix="0" xfId="0">
      <alignment horizontal="general" vertical="bottom"/>
    </xf>
    <xf numFmtId="0" fontId="35" fillId="2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5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6" borderId="3" applyAlignment="1" pivotButton="0" quotePrefix="0" xfId="0">
      <alignment horizontal="left" vertical="center"/>
    </xf>
    <xf numFmtId="0" fontId="0" fillId="0" borderId="3" pivotButton="0" quotePrefix="0" xfId="0"/>
    <xf numFmtId="0" fontId="7" fillId="7" borderId="4" applyAlignment="1" pivotButton="0" quotePrefix="0" xfId="0">
      <alignment horizontal="left" vertical="center"/>
    </xf>
    <xf numFmtId="0" fontId="0" fillId="0" borderId="4" pivotButton="0" quotePrefix="0" xfId="0"/>
    <xf numFmtId="0" fontId="10" fillId="3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7" fillId="8" borderId="4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general" vertical="bottom"/>
    </xf>
    <xf numFmtId="0" fontId="22" fillId="11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general" vertical="bottom"/>
    </xf>
    <xf numFmtId="164" fontId="23" fillId="12" borderId="0" applyAlignment="1" pivotButton="0" quotePrefix="0" xfId="0">
      <alignment horizontal="general" vertical="bottom"/>
    </xf>
    <xf numFmtId="0" fontId="23" fillId="12" borderId="0" applyAlignment="1" pivotButton="0" quotePrefix="0" xfId="0">
      <alignment horizontal="left" vertical="bottom" indent="1"/>
    </xf>
    <xf numFmtId="1" fontId="23" fillId="12" borderId="0" applyAlignment="1" pivotButton="0" quotePrefix="0" xfId="0">
      <alignment horizontal="right" vertical="bottom" indent="2"/>
    </xf>
    <xf numFmtId="0" fontId="23" fillId="13" borderId="0" applyAlignment="1" pivotButton="0" quotePrefix="0" xfId="0">
      <alignment horizontal="general" vertical="bottom"/>
    </xf>
    <xf numFmtId="164" fontId="23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left" vertical="bottom" indent="1"/>
    </xf>
    <xf numFmtId="0" fontId="23" fillId="14" borderId="0" applyAlignment="1" pivotButton="0" quotePrefix="0" xfId="0">
      <alignment horizontal="general" vertical="bottom"/>
    </xf>
    <xf numFmtId="0" fontId="23" fillId="14" borderId="0" applyAlignment="1" pivotButton="0" quotePrefix="0" xfId="0">
      <alignment horizontal="right" vertical="bottom" indent="2"/>
    </xf>
    <xf numFmtId="0" fontId="23" fillId="14" borderId="0" applyAlignment="1" pivotButton="0" quotePrefix="0" xfId="0">
      <alignment horizontal="left" vertical="bottom" indent="1"/>
    </xf>
    <xf numFmtId="0" fontId="23" fillId="12" borderId="0" applyAlignment="1" pivotButton="0" quotePrefix="0" xfId="0">
      <alignment horizontal="right" vertical="bottom" indent="2"/>
    </xf>
    <xf numFmtId="0" fontId="20" fillId="4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1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5" fontId="25" fillId="2" borderId="0" applyAlignment="1" pivotButton="0" quotePrefix="0" xfId="0">
      <alignment horizontal="general" vertical="bottom"/>
    </xf>
    <xf numFmtId="0" fontId="26" fillId="16" borderId="0" applyAlignment="1" pivotButton="0" quotePrefix="0" xfId="0">
      <alignment horizontal="left" vertical="center"/>
    </xf>
    <xf numFmtId="0" fontId="27" fillId="17" borderId="0" applyAlignment="1" pivotButton="0" quotePrefix="0" xfId="0">
      <alignment horizontal="left" vertical="center"/>
    </xf>
    <xf numFmtId="0" fontId="28" fillId="18" borderId="0" applyAlignment="1" pivotButton="0" quotePrefix="0" xfId="0">
      <alignment horizontal="general" vertical="bottom"/>
    </xf>
    <xf numFmtId="0" fontId="23" fillId="19" borderId="0" applyAlignment="1" pivotButton="0" quotePrefix="0" xfId="0">
      <alignment horizontal="general" vertical="bottom"/>
    </xf>
    <xf numFmtId="164" fontId="23" fillId="19" borderId="0" applyAlignment="1" pivotButton="0" quotePrefix="0" xfId="0">
      <alignment horizontal="general" vertical="bottom"/>
    </xf>
    <xf numFmtId="0" fontId="24" fillId="7" borderId="0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/>
    </xf>
    <xf numFmtId="0" fontId="21" fillId="3" borderId="2" applyAlignment="1" pivotButton="0" quotePrefix="0" xfId="0">
      <alignment horizontal="left" vertical="center"/>
    </xf>
    <xf numFmtId="0" fontId="28" fillId="21" borderId="0" applyAlignment="1" pivotButton="0" quotePrefix="0" xfId="0">
      <alignment horizontal="general" vertical="bottom"/>
    </xf>
    <xf numFmtId="0" fontId="29" fillId="10" borderId="0" applyAlignment="1" pivotButton="0" quotePrefix="0" xfId="0">
      <alignment horizontal="left" vertical="center"/>
    </xf>
    <xf numFmtId="164" fontId="29" fillId="10" borderId="0" applyAlignment="1" pivotButton="0" quotePrefix="0" xfId="0">
      <alignment horizontal="left" vertical="center"/>
    </xf>
    <xf numFmtId="1" fontId="30" fillId="10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general" vertical="bottom"/>
    </xf>
    <xf numFmtId="0" fontId="29" fillId="12" borderId="0" applyAlignment="1" pivotButton="0" quotePrefix="0" xfId="0">
      <alignment horizontal="left" vertical="center"/>
    </xf>
    <xf numFmtId="164" fontId="29" fillId="12" borderId="0" applyAlignment="1" pivotButton="0" quotePrefix="0" xfId="0">
      <alignment horizontal="left" vertical="center"/>
    </xf>
    <xf numFmtId="1" fontId="30" fillId="12" borderId="0" applyAlignment="1" pivotButton="0" quotePrefix="0" xfId="0">
      <alignment horizontal="left" vertical="center"/>
    </xf>
    <xf numFmtId="0" fontId="30" fillId="12" borderId="0" applyAlignment="1" pivotButton="0" quotePrefix="0" xfId="0">
      <alignment horizontal="left" vertical="center"/>
    </xf>
    <xf numFmtId="164" fontId="30" fillId="12" borderId="0" applyAlignment="1" pivotButton="0" quotePrefix="0" xfId="0">
      <alignment horizontal="left" vertical="center"/>
    </xf>
    <xf numFmtId="0" fontId="30" fillId="10" borderId="0" applyAlignment="1" pivotButton="0" quotePrefix="0" xfId="0">
      <alignment horizontal="left" vertical="center"/>
    </xf>
    <xf numFmtId="164" fontId="30" fillId="10" borderId="0" applyAlignment="1" pivotButton="0" quotePrefix="0" xfId="0">
      <alignment horizontal="left" vertical="center"/>
    </xf>
    <xf numFmtId="0" fontId="24" fillId="22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21" fillId="3" borderId="2" applyAlignment="1" pivotButton="0" quotePrefix="0" xfId="0">
      <alignment horizontal="general" vertical="bottom"/>
    </xf>
    <xf numFmtId="0" fontId="23" fillId="23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left" vertical="center"/>
    </xf>
    <xf numFmtId="0" fontId="6" fillId="24" borderId="0" applyAlignment="1" pivotButton="0" quotePrefix="0" xfId="0">
      <alignment horizontal="left" vertical="center"/>
    </xf>
    <xf numFmtId="0" fontId="31" fillId="7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left" vertical="center" indent="1"/>
    </xf>
    <xf numFmtId="0" fontId="30" fillId="10" borderId="0" applyAlignment="1" pivotButton="0" quotePrefix="0" xfId="0">
      <alignment horizontal="left" vertical="center" wrapText="1" indent="1"/>
    </xf>
    <xf numFmtId="0" fontId="26" fillId="25" borderId="0" applyAlignment="1" pivotButton="0" quotePrefix="0" xfId="0">
      <alignment horizontal="left" vertical="center"/>
    </xf>
    <xf numFmtId="0" fontId="33" fillId="26" borderId="0" applyAlignment="1" pivotButton="0" quotePrefix="0" xfId="0">
      <alignment horizontal="general" vertical="bottom"/>
    </xf>
    <xf numFmtId="0" fontId="23" fillId="27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center"/>
    </xf>
    <xf numFmtId="0" fontId="35" fillId="12" borderId="0" applyAlignment="1" pivotButton="0" quotePrefix="0" xfId="0">
      <alignment horizontal="general" vertical="bottom"/>
    </xf>
    <xf numFmtId="0" fontId="35" fillId="28" borderId="0" applyAlignment="1" pivotButton="0" quotePrefix="0" xfId="0">
      <alignment horizontal="general" vertical="bottom"/>
    </xf>
    <xf numFmtId="0" fontId="35" fillId="2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432818"/>
          <bgColor rgb="FF000000"/>
        </patternFill>
      </fill>
    </dxf>
    <dxf>
      <fill>
        <patternFill patternType="solid">
          <fgColor rgb="FFFAF8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B1810"/>
          <bgColor rgb="FF000000"/>
        </patternFill>
      </fill>
    </dxf>
    <dxf>
      <fill>
        <patternFill patternType="solid">
          <fgColor rgb="FF8A7A6D"/>
          <bgColor rgb="FF000000"/>
        </patternFill>
      </fill>
    </dxf>
    <dxf>
      <fill>
        <patternFill patternType="solid">
          <fgColor rgb="FF6F1D1B"/>
          <bgColor rgb="FF000000"/>
        </patternFill>
      </fill>
    </dxf>
    <dxf>
      <fill>
        <patternFill patternType="solid">
          <fgColor rgb="FFBD9275"/>
          <bgColor rgb="FF000000"/>
        </patternFill>
      </fill>
    </dxf>
    <dxf>
      <fill>
        <patternFill patternType="solid">
          <fgColor rgb="FFE9DDDD"/>
          <bgColor rgb="FF000000"/>
        </patternFill>
      </fill>
    </dxf>
    <dxf>
      <fill>
        <patternFill patternType="solid">
          <fgColor rgb="FFF1EADD"/>
          <bgColor rgb="FF000000"/>
        </patternFill>
      </fill>
    </dxf>
    <dxf>
      <fill>
        <patternFill patternType="solid">
          <fgColor rgb="FF7A6039"/>
          <bgColor rgb="FF000000"/>
        </patternFill>
      </fill>
    </dxf>
    <dxf>
      <font>
        <name val="Inter"/>
        <charset val="1"/>
        <family val="0"/>
        <b val="1"/>
        <color rgb="FF7A6039"/>
        <sz val="10"/>
      </font>
      <fill>
        <patternFill>
          <bgColor rgb="FFF1EADD"/>
        </patternFill>
      </fill>
    </dxf>
    <dxf>
      <font>
        <name val="Inter"/>
        <charset val="1"/>
        <family val="0"/>
        <b val="1"/>
        <color rgb="FF6F1D1B"/>
        <sz val="10"/>
      </font>
      <fill>
        <patternFill>
          <bgColor rgb="FFE9DDDD"/>
        </patternFill>
      </fill>
    </dxf>
    <dxf>
      <font>
        <name val="Inter"/>
        <charset val="1"/>
        <family val="0"/>
        <b val="1"/>
        <color rgb="FFFFFFFF"/>
        <sz val="10"/>
      </font>
      <fill>
        <patternFill>
          <bgColor rgb="FF6F1D1B"/>
        </patternFill>
      </fill>
    </dxf>
    <dxf>
      <font>
        <name val="Inter"/>
        <charset val="1"/>
        <family val="0"/>
        <b val="1"/>
        <color rgb="FFFFFFFF"/>
        <sz val="10"/>
      </font>
      <fill>
        <patternFill>
          <bgColor rgb="FF432818"/>
        </patternFill>
      </fill>
    </dxf>
    <dxf>
      <font>
        <name val="Inter"/>
        <charset val="1"/>
        <family val="0"/>
        <b val="1"/>
        <color rgb="FFFFFFFF"/>
        <sz val="10"/>
      </font>
      <fill>
        <patternFill>
          <bgColor rgb="FFBD9275"/>
        </patternFill>
      </fill>
    </dxf>
    <dxf>
      <fill>
        <patternFill>
          <bgColor rgb="FFE0CDBF"/>
        </patternFill>
      </fill>
    </dxf>
    <dxf>
      <fill>
        <patternFill>
          <bgColor rgb="FFE4D4BC"/>
        </patternFill>
      </fill>
    </dxf>
  </dxfs>
  <colors>
    <indexedColors>
      <rgbColor rgb="FF000000"/>
      <rgbColor rgb="FFFFFFFF"/>
      <rgbColor rgb="FFFF0000"/>
      <rgbColor rgb="FFFFF8E5"/>
      <rgbColor rgb="FF0000FF"/>
      <rgbColor rgb="FFFFF2D3"/>
      <rgbColor rgb="FFFF00FF"/>
      <rgbColor rgb="FFF5EEEA"/>
      <rgbColor rgb="FF6F1D1B"/>
      <rgbColor rgb="FFFCFBF8"/>
      <rgbColor rgb="FF000080"/>
      <rgbColor rgb="FF8C6F41"/>
      <rgbColor rgb="FF5E1917"/>
      <rgbColor rgb="FFFBF8F6"/>
      <rgbColor rgb="FFE0CDBF"/>
      <rgbColor rgb="FF8A7A6D"/>
      <rgbColor rgb="FFA1948C"/>
      <rgbColor rgb="FF8A4F26"/>
      <rgbColor rgb="FFFFF4D7"/>
      <rgbColor rgb="FFEDEBE9"/>
      <rgbColor rgb="FF641A18"/>
      <rgbColor rgb="FFBD9275"/>
      <rgbColor rgb="FFFCFAF7"/>
      <rgbColor rgb="FFE9DDDD"/>
      <rgbColor rgb="FF000080"/>
      <rgbColor rgb="FFFF00FF"/>
      <rgbColor rgb="FFF1EADD"/>
      <rgbColor rgb="FFF5EFE6"/>
      <rgbColor rgb="FF800080"/>
      <rgbColor rgb="FF691C1A"/>
      <rgbColor rgb="FFFBF9F5"/>
      <rgbColor rgb="FF0000FF"/>
      <rgbColor rgb="FFF8F3F0"/>
      <rgbColor rgb="FFF6F1F1"/>
      <rgbColor rgb="FFE8E5E3"/>
      <rgbColor rgb="FFFFE6A7"/>
      <rgbColor rgb="FFEEE4E4"/>
      <rgbColor rgb="FFF0E6DF"/>
      <rgbColor rgb="FFB78E8D"/>
      <rgbColor rgb="FFE4D4BC"/>
      <rgbColor rgb="FFFAF8F3"/>
      <rgbColor rgb="FFF1E8E8"/>
      <rgbColor rgb="FFB28D53"/>
      <rgbColor rgb="FFF3ECE1"/>
      <rgbColor rgb="FFBB9457"/>
      <rgbColor rgb="FF99582A"/>
      <rgbColor rgb="FF7A6039"/>
      <rgbColor rgb="FF9A9A9A"/>
      <rgbColor rgb="FF003366"/>
      <rgbColor rgb="FF9F7E4A"/>
      <rgbColor rgb="FF003300"/>
      <rgbColor rgb="FF432818"/>
      <rgbColor rgb="FF824B24"/>
      <rgbColor rgb="FF915428"/>
      <rgbColor rgb="FFFDFBF7"/>
      <rgbColor rgb="FF2B181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432818"/>
    <outlinePr summaryBelow="1" summaryRight="1"/>
    <pageSetUpPr fitToPage="0"/>
  </sheetPr>
  <dimension ref="A1:L6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outlineLevel="1" width="2" customWidth="1" style="81" min="1" max="1"/>
    <col width="15" customWidth="1" style="81" min="2" max="5"/>
    <col width="14" customWidth="1" style="81" min="6" max="6"/>
    <col width="2" customWidth="1" style="81" min="7" max="7"/>
    <col width="15" customWidth="1" style="81" min="8" max="11"/>
    <col width="2" customWidth="1" style="81" min="12" max="12"/>
  </cols>
  <sheetData>
    <row r="1" ht="7.5" customHeight="1" s="82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</row>
    <row r="2" ht="39.75" customHeight="1" s="82">
      <c r="A2" s="84" t="inlineStr">
        <is>
          <t xml:space="preserve">  🛡️  INSURANCE POLICY RENEWAL TRACKER</t>
        </is>
      </c>
      <c r="G2" s="85">
        <f>"Live as of  "&amp;TEXT(TODAY(),"d mmmm yyyy")&amp;"   ·   Policies: "&amp;COUNTA('Policy Register'!C5:C304)</f>
        <v/>
      </c>
    </row>
    <row r="3" ht="19.5" customHeight="1" s="82">
      <c r="A3" s="86" t="inlineStr">
        <is>
          <t xml:space="preserve">  Your Brokerage Name  ·  Never let a renewal slip through the cracks</t>
        </is>
      </c>
    </row>
    <row r="4" ht="9.75" customHeight="1" s="82">
      <c r="A4" s="83" t="n"/>
      <c r="B4" s="83" t="n"/>
      <c r="C4" s="83" t="n"/>
      <c r="D4" s="83" t="n"/>
      <c r="E4" s="83" t="n"/>
      <c r="F4" s="83" t="n"/>
      <c r="G4" s="83" t="n"/>
      <c r="H4" s="83" t="n"/>
      <c r="I4" s="83" t="n"/>
      <c r="J4" s="83" t="n"/>
      <c r="K4" s="83" t="n"/>
      <c r="L4" s="83" t="n"/>
    </row>
    <row r="5" ht="19.5" customHeight="1" s="82">
      <c r="A5" s="83" t="n"/>
      <c r="B5" s="87" t="inlineStr">
        <is>
          <t xml:space="preserve">  TOTAL POLICIES</t>
        </is>
      </c>
      <c r="C5" s="88" t="n"/>
      <c r="D5" s="89" t="inlineStr">
        <is>
          <t xml:space="preserve">  ✅ RENEWED</t>
        </is>
      </c>
      <c r="E5" s="90" t="n"/>
      <c r="F5" s="83" t="n"/>
      <c r="G5" s="83" t="n"/>
      <c r="H5" s="91" t="inlineStr">
        <is>
          <t xml:space="preserve">  📅 DUE IN 30 DAYS</t>
        </is>
      </c>
      <c r="I5" s="92" t="n"/>
      <c r="J5" s="93" t="inlineStr">
        <is>
          <t xml:space="preserve">  🚨 OVERDUE</t>
        </is>
      </c>
      <c r="K5" s="94" t="n"/>
      <c r="L5" s="83" t="n"/>
    </row>
    <row r="6" ht="33.75" customHeight="1" s="82">
      <c r="A6" s="83" t="n"/>
      <c r="B6" s="95">
        <f>COUNTA('Policy Register'!C5:C304)</f>
        <v/>
      </c>
      <c r="D6" s="96">
        <f>COUNTIF('Policy Register'!G5:G304,"Renewed")</f>
        <v/>
      </c>
      <c r="F6" s="83" t="n"/>
      <c r="G6" s="83" t="n"/>
      <c r="H6" s="97">
        <f>COUNTIFS('Policy Register'!G5:G304,"&lt;&gt;Renewed",'Policy Register'!F5:F304,"&gt;="&amp;TODAY(),'Policy Register'!F5:F304,"&lt;="&amp;(TODAY()+30))</f>
        <v/>
      </c>
      <c r="J6" s="98">
        <f>COUNTIF('Policy Register'!H5:H304,"&gt;0")</f>
        <v/>
      </c>
      <c r="L6" s="83" t="n"/>
    </row>
    <row r="7" ht="15.75" customHeight="1" s="82">
      <c r="A7" s="83" t="n"/>
      <c r="B7" s="99" t="inlineStr">
        <is>
          <t>"Active book of business"</t>
        </is>
      </c>
      <c r="D7" s="100">
        <f>IFERROR(TEXT(COUNTIF('Policy Register'!G5:G304,"Renewed")/COUNTA('Policy Register'!C5:C304),"0%")&amp;" of book","")</f>
        <v/>
      </c>
      <c r="F7" s="83" t="n"/>
      <c r="G7" s="83" t="n"/>
      <c r="H7" s="101" t="inlineStr">
        <is>
          <t>"Plan outreach now"</t>
        </is>
      </c>
      <c r="J7" s="102" t="inlineStr">
        <is>
          <t>"Needs immediate attention"</t>
        </is>
      </c>
      <c r="L7" s="83" t="n"/>
    </row>
    <row r="8" ht="9.75" customHeight="1" s="82">
      <c r="A8" s="83" t="n"/>
      <c r="B8" s="83" t="n"/>
      <c r="C8" s="83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</row>
    <row r="9" ht="19.5" customHeight="1" s="82">
      <c r="A9" s="83" t="n"/>
      <c r="B9" s="89" t="inlineStr">
        <is>
          <t xml:space="preserve">  DUE IN 60 DAYS</t>
        </is>
      </c>
      <c r="C9" s="90" t="n"/>
      <c r="D9" s="91" t="inlineStr">
        <is>
          <t xml:space="preserve">  DUE IN 14 DAYS</t>
        </is>
      </c>
      <c r="E9" s="92" t="n"/>
      <c r="F9" s="83" t="n"/>
      <c r="G9" s="83" t="n"/>
      <c r="H9" s="103" t="inlineStr">
        <is>
          <t xml:space="preserve">  DUE IN 7 DAYS</t>
        </is>
      </c>
      <c r="I9" s="94" t="n"/>
      <c r="J9" s="103" t="inlineStr">
        <is>
          <t xml:space="preserve">  📅 DUE TODAY</t>
        </is>
      </c>
      <c r="K9" s="94" t="n"/>
      <c r="L9" s="83" t="n"/>
    </row>
    <row r="10" ht="33.75" customHeight="1" s="82">
      <c r="A10" s="83" t="n"/>
      <c r="B10" s="96">
        <f>COUNTIFS('Policy Register'!G5:G304,"&lt;&gt;Renewed",'Policy Register'!F5:F304,"&gt;="&amp;TODAY(),'Policy Register'!F5:F304,"&lt;="&amp;(TODAY()+60))</f>
        <v/>
      </c>
      <c r="D10" s="97">
        <f>COUNTIFS('Policy Register'!G5:G304,"&lt;&gt;Renewed",'Policy Register'!F5:F304,"&gt;="&amp;TODAY(),'Policy Register'!F5:F304,"&lt;="&amp;(TODAY()+14))</f>
        <v/>
      </c>
      <c r="F10" s="83" t="n"/>
      <c r="G10" s="83" t="n"/>
      <c r="H10" s="104">
        <f>COUNTIFS('Policy Register'!G5:G304,"&lt;&gt;Renewed",'Policy Register'!F5:F304,"&gt;="&amp;TODAY(),'Policy Register'!F5:F304,"&lt;="&amp;(TODAY()+7))</f>
        <v/>
      </c>
      <c r="J10" s="104">
        <f>COUNTIFS('Policy Register'!G5:G304,"&lt;&gt;Renewed",'Policy Register'!F5:F304,TODAY())</f>
        <v/>
      </c>
      <c r="L10" s="83" t="n"/>
    </row>
    <row r="11" ht="15.75" customHeight="1" s="82">
      <c r="A11" s="83" t="n"/>
      <c r="B11" s="100" t="inlineStr">
        <is>
          <t>"Early notice window"</t>
        </is>
      </c>
      <c r="D11" s="101" t="inlineStr">
        <is>
          <t>"Confirm client contact"</t>
        </is>
      </c>
      <c r="F11" s="83" t="n"/>
      <c r="G11" s="83" t="n"/>
      <c r="H11" s="105" t="inlineStr">
        <is>
          <t>"This week"</t>
        </is>
      </c>
      <c r="J11" s="105" t="inlineStr">
        <is>
          <t>"Action required today"</t>
        </is>
      </c>
      <c r="L11" s="83" t="n"/>
    </row>
    <row r="12" ht="9.75" customHeight="1" s="82">
      <c r="A12" s="83" t="n"/>
      <c r="B12" s="83" t="n"/>
      <c r="C12" s="83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</row>
    <row r="13" ht="19.5" customHeight="1" s="82">
      <c r="A13" s="83" t="n"/>
      <c r="B13" s="106" t="inlineStr">
        <is>
          <t xml:space="preserve">  📅 UPCOMING RENEWALS  —  Soonest due first</t>
        </is>
      </c>
      <c r="G13" s="83" t="n"/>
      <c r="H13" s="107" t="inlineStr">
        <is>
          <t xml:space="preserve">  🚨 OVERDUE POLICIES  —  Requires action</t>
        </is>
      </c>
      <c r="L13" s="83" t="n"/>
    </row>
    <row r="14" ht="18" customHeight="1" s="82">
      <c r="A14" s="83" t="n"/>
      <c r="B14" s="108" t="inlineStr">
        <is>
          <t>CLIENT</t>
        </is>
      </c>
      <c r="C14" s="108" t="inlineStr">
        <is>
          <t>CLASS</t>
        </is>
      </c>
      <c r="D14" s="108" t="inlineStr">
        <is>
          <t>DUE DATE</t>
        </is>
      </c>
      <c r="E14" s="108" t="inlineStr">
        <is>
          <t>STATUS</t>
        </is>
      </c>
      <c r="F14" s="83" t="n"/>
      <c r="G14" s="83" t="n"/>
      <c r="H14" s="109" t="inlineStr">
        <is>
          <t>CLIENT</t>
        </is>
      </c>
      <c r="I14" s="109" t="inlineStr">
        <is>
          <t>CLASS</t>
        </is>
      </c>
      <c r="J14" s="109" t="inlineStr">
        <is>
          <t>DAYS LATE</t>
        </is>
      </c>
      <c r="K14" s="109" t="inlineStr">
        <is>
          <t>STATUS</t>
        </is>
      </c>
      <c r="L14" s="83" t="n"/>
    </row>
    <row r="15" ht="15.75" customHeight="1" s="82">
      <c r="A15" s="83" t="n"/>
      <c r="B15" s="110">
        <f>IFERROR(INDEX('Policy Register'!$C:$C,MATCH(1,'Policy Register'!$L:$L,0)),"")</f>
        <v/>
      </c>
      <c r="C15" s="110">
        <f>IFERROR(INDEX('Policy Register'!$D:$D,MATCH(1,'Policy Register'!$L:$L,0)),"")</f>
        <v/>
      </c>
      <c r="D15" s="111">
        <f>IFERROR(INDEX('Policy Register'!$F:$F,MATCH(1,'Policy Register'!$L:$L,0)),"")</f>
        <v/>
      </c>
      <c r="E15" s="112">
        <f>IFERROR(INDEX('Policy Register'!$G:$G,MATCH(1,'Policy Register'!$L:$L,0)),"")</f>
        <v/>
      </c>
      <c r="F15" s="83" t="n"/>
      <c r="G15" s="83" t="n"/>
      <c r="H15" s="110">
        <f>IFERROR(INDEX('Policy Register'!$C:$C,MATCH(1,'Policy Register'!$M:$M,0)),"")</f>
        <v/>
      </c>
      <c r="I15" s="110">
        <f>IFERROR(INDEX('Policy Register'!$D:$D,MATCH(1,'Policy Register'!$M:$M,0)),"")</f>
        <v/>
      </c>
      <c r="J15" s="113">
        <f>IFERROR(INDEX('Policy Register'!$H:$H,MATCH(1,'Policy Register'!$M:$M,0)),"")</f>
        <v/>
      </c>
      <c r="K15" s="112">
        <f>IFERROR(INDEX('Policy Register'!$G:$G,MATCH(1,'Policy Register'!$M:$M,0)),"")</f>
        <v/>
      </c>
      <c r="L15" s="83" t="n"/>
    </row>
    <row r="16" ht="15.75" customHeight="1" s="82">
      <c r="A16" s="83" t="n"/>
      <c r="B16" s="114">
        <f>IFERROR(INDEX('Policy Register'!$C:$C,MATCH(2,'Policy Register'!$L:$L,0)),"")</f>
        <v/>
      </c>
      <c r="C16" s="114">
        <f>IFERROR(INDEX('Policy Register'!$D:$D,MATCH(2,'Policy Register'!$L:$L,0)),"")</f>
        <v/>
      </c>
      <c r="D16" s="115">
        <f>IFERROR(INDEX('Policy Register'!$F:$F,MATCH(2,'Policy Register'!$L:$L,0)),"")</f>
        <v/>
      </c>
      <c r="E16" s="116">
        <f>IFERROR(INDEX('Policy Register'!$G:$G,MATCH(2,'Policy Register'!$L:$L,0)),"")</f>
        <v/>
      </c>
      <c r="F16" s="83" t="n"/>
      <c r="G16" s="83" t="n"/>
      <c r="H16" s="117">
        <f>IFERROR(INDEX('Policy Register'!$C:$C,MATCH(2,'Policy Register'!$M:$M,0)),"")</f>
        <v/>
      </c>
      <c r="I16" s="117">
        <f>IFERROR(INDEX('Policy Register'!$D:$D,MATCH(2,'Policy Register'!$M:$M,0)),"")</f>
        <v/>
      </c>
      <c r="J16" s="118">
        <f>IFERROR(INDEX('Policy Register'!$H:$H,MATCH(2,'Policy Register'!$M:$M,0)),"")</f>
        <v/>
      </c>
      <c r="K16" s="119">
        <f>IFERROR(INDEX('Policy Register'!$G:$G,MATCH(2,'Policy Register'!$M:$M,0)),"")</f>
        <v/>
      </c>
      <c r="L16" s="83" t="n"/>
    </row>
    <row r="17" ht="15.75" customHeight="1" s="82">
      <c r="A17" s="83" t="n"/>
      <c r="B17" s="110">
        <f>IFERROR(INDEX('Policy Register'!$C:$C,MATCH(3,'Policy Register'!$L:$L,0)),"")</f>
        <v/>
      </c>
      <c r="C17" s="110">
        <f>IFERROR(INDEX('Policy Register'!$D:$D,MATCH(3,'Policy Register'!$L:$L,0)),"")</f>
        <v/>
      </c>
      <c r="D17" s="111">
        <f>IFERROR(INDEX('Policy Register'!$F:$F,MATCH(3,'Policy Register'!$L:$L,0)),"")</f>
        <v/>
      </c>
      <c r="E17" s="112">
        <f>IFERROR(INDEX('Policy Register'!$G:$G,MATCH(3,'Policy Register'!$L:$L,0)),"")</f>
        <v/>
      </c>
      <c r="F17" s="83" t="n"/>
      <c r="G17" s="83" t="n"/>
      <c r="H17" s="110">
        <f>IFERROR(INDEX('Policy Register'!$C:$C,MATCH(3,'Policy Register'!$M:$M,0)),"")</f>
        <v/>
      </c>
      <c r="I17" s="110">
        <f>IFERROR(INDEX('Policy Register'!$D:$D,MATCH(3,'Policy Register'!$M:$M,0)),"")</f>
        <v/>
      </c>
      <c r="J17" s="120">
        <f>IFERROR(INDEX('Policy Register'!$H:$H,MATCH(3,'Policy Register'!$M:$M,0)),"")</f>
        <v/>
      </c>
      <c r="K17" s="112">
        <f>IFERROR(INDEX('Policy Register'!$G:$G,MATCH(3,'Policy Register'!$M:$M,0)),"")</f>
        <v/>
      </c>
      <c r="L17" s="83" t="n"/>
    </row>
    <row r="18" ht="15.75" customHeight="1" s="82">
      <c r="A18" s="83" t="n"/>
      <c r="B18" s="114">
        <f>IFERROR(INDEX('Policy Register'!$C:$C,MATCH(4,'Policy Register'!$L:$L,0)),"")</f>
        <v/>
      </c>
      <c r="C18" s="114">
        <f>IFERROR(INDEX('Policy Register'!$D:$D,MATCH(4,'Policy Register'!$L:$L,0)),"")</f>
        <v/>
      </c>
      <c r="D18" s="115">
        <f>IFERROR(INDEX('Policy Register'!$F:$F,MATCH(4,'Policy Register'!$L:$L,0)),"")</f>
        <v/>
      </c>
      <c r="E18" s="116">
        <f>IFERROR(INDEX('Policy Register'!$G:$G,MATCH(4,'Policy Register'!$L:$L,0)),"")</f>
        <v/>
      </c>
      <c r="F18" s="83" t="n"/>
      <c r="G18" s="83" t="n"/>
      <c r="H18" s="117">
        <f>IFERROR(INDEX('Policy Register'!$C:$C,MATCH(4,'Policy Register'!$M:$M,0)),"")</f>
        <v/>
      </c>
      <c r="I18" s="117">
        <f>IFERROR(INDEX('Policy Register'!$D:$D,MATCH(4,'Policy Register'!$M:$M,0)),"")</f>
        <v/>
      </c>
      <c r="J18" s="118">
        <f>IFERROR(INDEX('Policy Register'!$H:$H,MATCH(4,'Policy Register'!$M:$M,0)),"")</f>
        <v/>
      </c>
      <c r="K18" s="119">
        <f>IFERROR(INDEX('Policy Register'!$G:$G,MATCH(4,'Policy Register'!$M:$M,0)),"")</f>
        <v/>
      </c>
      <c r="L18" s="83" t="n"/>
    </row>
    <row r="19" ht="15.75" customHeight="1" s="82">
      <c r="A19" s="83" t="n"/>
      <c r="B19" s="110">
        <f>IFERROR(INDEX('Policy Register'!$C:$C,MATCH(5,'Policy Register'!$L:$L,0)),"")</f>
        <v/>
      </c>
      <c r="C19" s="110">
        <f>IFERROR(INDEX('Policy Register'!$D:$D,MATCH(5,'Policy Register'!$L:$L,0)),"")</f>
        <v/>
      </c>
      <c r="D19" s="111">
        <f>IFERROR(INDEX('Policy Register'!$F:$F,MATCH(5,'Policy Register'!$L:$L,0)),"")</f>
        <v/>
      </c>
      <c r="E19" s="112">
        <f>IFERROR(INDEX('Policy Register'!$G:$G,MATCH(5,'Policy Register'!$L:$L,0)),"")</f>
        <v/>
      </c>
      <c r="F19" s="83" t="n"/>
      <c r="G19" s="83" t="n"/>
      <c r="H19" s="110">
        <f>IFERROR(INDEX('Policy Register'!$C:$C,MATCH(5,'Policy Register'!$M:$M,0)),"")</f>
        <v/>
      </c>
      <c r="I19" s="110">
        <f>IFERROR(INDEX('Policy Register'!$D:$D,MATCH(5,'Policy Register'!$M:$M,0)),"")</f>
        <v/>
      </c>
      <c r="J19" s="120">
        <f>IFERROR(INDEX('Policy Register'!$H:$H,MATCH(5,'Policy Register'!$M:$M,0)),"")</f>
        <v/>
      </c>
      <c r="K19" s="112">
        <f>IFERROR(INDEX('Policy Register'!$G:$G,MATCH(5,'Policy Register'!$M:$M,0)),"")</f>
        <v/>
      </c>
      <c r="L19" s="83" t="n"/>
    </row>
    <row r="20" ht="15.75" customHeight="1" s="82">
      <c r="A20" s="83" t="n"/>
      <c r="B20" s="114">
        <f>IFERROR(INDEX('Policy Register'!$C:$C,MATCH(6,'Policy Register'!$L:$L,0)),"")</f>
        <v/>
      </c>
      <c r="C20" s="114">
        <f>IFERROR(INDEX('Policy Register'!$D:$D,MATCH(6,'Policy Register'!$L:$L,0)),"")</f>
        <v/>
      </c>
      <c r="D20" s="115">
        <f>IFERROR(INDEX('Policy Register'!$F:$F,MATCH(6,'Policy Register'!$L:$L,0)),"")</f>
        <v/>
      </c>
      <c r="E20" s="116">
        <f>IFERROR(INDEX('Policy Register'!$G:$G,MATCH(6,'Policy Register'!$L:$L,0)),"")</f>
        <v/>
      </c>
      <c r="F20" s="83" t="n"/>
      <c r="G20" s="83" t="n"/>
      <c r="H20" s="117">
        <f>IFERROR(INDEX('Policy Register'!$C:$C,MATCH(6,'Policy Register'!$M:$M,0)),"")</f>
        <v/>
      </c>
      <c r="I20" s="117">
        <f>IFERROR(INDEX('Policy Register'!$D:$D,MATCH(6,'Policy Register'!$M:$M,0)),"")</f>
        <v/>
      </c>
      <c r="J20" s="118">
        <f>IFERROR(INDEX('Policy Register'!$H:$H,MATCH(6,'Policy Register'!$M:$M,0)),"")</f>
        <v/>
      </c>
      <c r="K20" s="119">
        <f>IFERROR(INDEX('Policy Register'!$G:$G,MATCH(6,'Policy Register'!$M:$M,0)),"")</f>
        <v/>
      </c>
      <c r="L20" s="83" t="n"/>
    </row>
    <row r="21" ht="15.75" customHeight="1" s="82">
      <c r="A21" s="83" t="n"/>
      <c r="B21" s="110">
        <f>IFERROR(INDEX('Policy Register'!$C:$C,MATCH(7,'Policy Register'!$L:$L,0)),"")</f>
        <v/>
      </c>
      <c r="C21" s="110">
        <f>IFERROR(INDEX('Policy Register'!$D:$D,MATCH(7,'Policy Register'!$L:$L,0)),"")</f>
        <v/>
      </c>
      <c r="D21" s="111">
        <f>IFERROR(INDEX('Policy Register'!$F:$F,MATCH(7,'Policy Register'!$L:$L,0)),"")</f>
        <v/>
      </c>
      <c r="E21" s="112">
        <f>IFERROR(INDEX('Policy Register'!$G:$G,MATCH(7,'Policy Register'!$L:$L,0)),"")</f>
        <v/>
      </c>
      <c r="F21" s="83" t="n"/>
      <c r="G21" s="83" t="n"/>
      <c r="H21" s="110">
        <f>IFERROR(INDEX('Policy Register'!$C:$C,MATCH(7,'Policy Register'!$M:$M,0)),"")</f>
        <v/>
      </c>
      <c r="I21" s="110">
        <f>IFERROR(INDEX('Policy Register'!$D:$D,MATCH(7,'Policy Register'!$M:$M,0)),"")</f>
        <v/>
      </c>
      <c r="J21" s="120">
        <f>IFERROR(INDEX('Policy Register'!$H:$H,MATCH(7,'Policy Register'!$M:$M,0)),"")</f>
        <v/>
      </c>
      <c r="K21" s="112">
        <f>IFERROR(INDEX('Policy Register'!$G:$G,MATCH(7,'Policy Register'!$M:$M,0)),"")</f>
        <v/>
      </c>
      <c r="L21" s="83" t="n"/>
    </row>
    <row r="22" ht="15.75" customHeight="1" s="82">
      <c r="A22" s="83" t="n"/>
      <c r="B22" s="114">
        <f>IFERROR(INDEX('Policy Register'!$C:$C,MATCH(8,'Policy Register'!$L:$L,0)),"")</f>
        <v/>
      </c>
      <c r="C22" s="114">
        <f>IFERROR(INDEX('Policy Register'!$D:$D,MATCH(8,'Policy Register'!$L:$L,0)),"")</f>
        <v/>
      </c>
      <c r="D22" s="115">
        <f>IFERROR(INDEX('Policy Register'!$F:$F,MATCH(8,'Policy Register'!$L:$L,0)),"")</f>
        <v/>
      </c>
      <c r="E22" s="116">
        <f>IFERROR(INDEX('Policy Register'!$G:$G,MATCH(8,'Policy Register'!$L:$L,0)),"")</f>
        <v/>
      </c>
      <c r="F22" s="83" t="n"/>
      <c r="G22" s="83" t="n"/>
      <c r="H22" s="117">
        <f>IFERROR(INDEX('Policy Register'!$C:$C,MATCH(8,'Policy Register'!$M:$M,0)),"")</f>
        <v/>
      </c>
      <c r="I22" s="117">
        <f>IFERROR(INDEX('Policy Register'!$D:$D,MATCH(8,'Policy Register'!$M:$M,0)),"")</f>
        <v/>
      </c>
      <c r="J22" s="118">
        <f>IFERROR(INDEX('Policy Register'!$H:$H,MATCH(8,'Policy Register'!$M:$M,0)),"")</f>
        <v/>
      </c>
      <c r="K22" s="119">
        <f>IFERROR(INDEX('Policy Register'!$G:$G,MATCH(8,'Policy Register'!$M:$M,0)),"")</f>
        <v/>
      </c>
      <c r="L22" s="83" t="n"/>
    </row>
    <row r="23" ht="15.75" customHeight="1" s="82">
      <c r="A23" s="83" t="n"/>
      <c r="B23" s="110">
        <f>IFERROR(INDEX('Policy Register'!$C:$C,MATCH(9,'Policy Register'!$L:$L,0)),"")</f>
        <v/>
      </c>
      <c r="C23" s="110">
        <f>IFERROR(INDEX('Policy Register'!$D:$D,MATCH(9,'Policy Register'!$L:$L,0)),"")</f>
        <v/>
      </c>
      <c r="D23" s="111">
        <f>IFERROR(INDEX('Policy Register'!$F:$F,MATCH(9,'Policy Register'!$L:$L,0)),"")</f>
        <v/>
      </c>
      <c r="E23" s="112">
        <f>IFERROR(INDEX('Policy Register'!$G:$G,MATCH(9,'Policy Register'!$L:$L,0)),"")</f>
        <v/>
      </c>
      <c r="F23" s="83" t="n"/>
      <c r="G23" s="83" t="n"/>
      <c r="H23" s="110">
        <f>IFERROR(INDEX('Policy Register'!$C:$C,MATCH(9,'Policy Register'!$M:$M,0)),"")</f>
        <v/>
      </c>
      <c r="I23" s="110">
        <f>IFERROR(INDEX('Policy Register'!$D:$D,MATCH(9,'Policy Register'!$M:$M,0)),"")</f>
        <v/>
      </c>
      <c r="J23" s="120">
        <f>IFERROR(INDEX('Policy Register'!$H:$H,MATCH(9,'Policy Register'!$M:$M,0)),"")</f>
        <v/>
      </c>
      <c r="K23" s="112">
        <f>IFERROR(INDEX('Policy Register'!$G:$G,MATCH(9,'Policy Register'!$M:$M,0)),"")</f>
        <v/>
      </c>
      <c r="L23" s="83" t="n"/>
    </row>
    <row r="24" ht="15.75" customHeight="1" s="82">
      <c r="A24" s="83" t="n"/>
      <c r="B24" s="114">
        <f>IFERROR(INDEX('Policy Register'!$C:$C,MATCH(10,'Policy Register'!$L:$L,0)),"")</f>
        <v/>
      </c>
      <c r="C24" s="114">
        <f>IFERROR(INDEX('Policy Register'!$D:$D,MATCH(10,'Policy Register'!$L:$L,0)),"")</f>
        <v/>
      </c>
      <c r="D24" s="115">
        <f>IFERROR(INDEX('Policy Register'!$F:$F,MATCH(10,'Policy Register'!$L:$L,0)),"")</f>
        <v/>
      </c>
      <c r="E24" s="116">
        <f>IFERROR(INDEX('Policy Register'!$G:$G,MATCH(10,'Policy Register'!$L:$L,0)),"")</f>
        <v/>
      </c>
      <c r="F24" s="83" t="n"/>
      <c r="G24" s="83" t="n"/>
      <c r="H24" s="117">
        <f>IFERROR(INDEX('Policy Register'!$C:$C,MATCH(10,'Policy Register'!$M:$M,0)),"")</f>
        <v/>
      </c>
      <c r="I24" s="117">
        <f>IFERROR(INDEX('Policy Register'!$D:$D,MATCH(10,'Policy Register'!$M:$M,0)),"")</f>
        <v/>
      </c>
      <c r="J24" s="118">
        <f>IFERROR(INDEX('Policy Register'!$H:$H,MATCH(10,'Policy Register'!$M:$M,0)),"")</f>
        <v/>
      </c>
      <c r="K24" s="119">
        <f>IFERROR(INDEX('Policy Register'!$G:$G,MATCH(10,'Policy Register'!$M:$M,0)),"")</f>
        <v/>
      </c>
      <c r="L24" s="83" t="n"/>
    </row>
    <row r="25" ht="9.75" customHeight="1" s="82">
      <c r="A25" s="83" t="n"/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</row>
    <row r="26" ht="19.5" customHeight="1" s="82">
      <c r="A26" s="83" t="n"/>
      <c r="B26" s="121" t="n"/>
      <c r="F26" s="83" t="n"/>
      <c r="G26" s="83" t="n"/>
      <c r="H26" s="121" t="n"/>
      <c r="L26" s="83" t="n"/>
    </row>
    <row r="27" ht="15.75" customHeight="1" s="82">
      <c r="A27" s="83" t="n"/>
      <c r="B27" s="122" t="n"/>
      <c r="C27" s="122" t="n"/>
      <c r="D27" s="83" t="n"/>
      <c r="E27" s="83" t="n"/>
      <c r="F27" s="83" t="n"/>
      <c r="G27" s="83" t="n"/>
      <c r="H27" s="122" t="n"/>
      <c r="I27" s="122" t="n"/>
      <c r="J27" s="83" t="n"/>
      <c r="K27" s="83" t="n"/>
      <c r="L27" s="83" t="n"/>
    </row>
    <row r="28" ht="15" customHeight="1" s="82">
      <c r="A28" s="83" t="n"/>
      <c r="B28" s="123" t="n"/>
      <c r="C28" s="123" t="n"/>
      <c r="D28" s="83" t="n"/>
      <c r="E28" s="83" t="n"/>
      <c r="F28" s="83" t="n"/>
      <c r="G28" s="83" t="n"/>
      <c r="H28" s="123" t="n"/>
      <c r="I28" s="123" t="n"/>
      <c r="J28" s="83" t="n"/>
      <c r="K28" s="83" t="n"/>
      <c r="L28" s="83" t="n"/>
    </row>
    <row r="29" ht="15" customHeight="1" s="82">
      <c r="A29" s="83" t="n"/>
      <c r="B29" s="123" t="n"/>
      <c r="C29" s="123" t="n"/>
      <c r="D29" s="83" t="n"/>
      <c r="E29" s="83" t="n"/>
      <c r="F29" s="83" t="n"/>
      <c r="G29" s="83" t="n"/>
      <c r="H29" s="123" t="n"/>
      <c r="I29" s="123" t="n"/>
      <c r="J29" s="83" t="n"/>
      <c r="K29" s="83" t="n"/>
      <c r="L29" s="83" t="n"/>
    </row>
    <row r="30" ht="15" customHeight="1" s="82">
      <c r="A30" s="83" t="n"/>
      <c r="B30" s="123" t="n"/>
      <c r="C30" s="12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</row>
    <row r="31" ht="15" customHeight="1" s="82">
      <c r="A31" s="83" t="n"/>
      <c r="B31" s="123" t="n"/>
      <c r="C31" s="12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83" t="n"/>
    </row>
    <row r="32" ht="15" customHeight="1" s="82">
      <c r="A32" s="83" t="n"/>
      <c r="B32" s="123" t="n"/>
      <c r="C32" s="12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</row>
    <row r="33" ht="15" customHeight="1" s="82">
      <c r="A33" s="83" t="n"/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</row>
    <row r="34" ht="15" customHeight="1" s="82">
      <c r="A34" s="83" t="n"/>
      <c r="B34" s="83" t="n"/>
      <c r="C34" s="83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83" t="n"/>
    </row>
    <row r="35" ht="15" customHeight="1" s="82">
      <c r="A35" s="83" t="n"/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</row>
    <row r="36" ht="15" customHeight="1" s="82">
      <c r="A36" s="83" t="n"/>
      <c r="B36" s="83" t="n"/>
      <c r="C36" s="83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83" t="n"/>
    </row>
    <row r="37" ht="15" customHeight="1" s="82">
      <c r="A37" s="83" t="n"/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</row>
    <row r="38" ht="15" customHeight="1" s="82">
      <c r="A38" s="83" t="n"/>
      <c r="B38" s="8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</row>
    <row r="39" ht="15" customHeight="1" s="82">
      <c r="A39" s="83" t="n"/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</row>
    <row r="40" ht="15" customHeight="1" s="82">
      <c r="A40" s="83" t="n"/>
      <c r="B40" s="83" t="n"/>
      <c r="C40" s="83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</row>
    <row r="41" ht="15" customHeight="1" s="82">
      <c r="A41" s="83" t="n"/>
      <c r="B41" s="83" t="n"/>
      <c r="C41" s="83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83" t="n"/>
    </row>
    <row r="42" ht="15" customHeight="1" s="82">
      <c r="A42" s="83" t="n"/>
      <c r="B42" s="83" t="n"/>
      <c r="C42" s="83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</row>
    <row r="43" ht="15" customHeight="1" s="82">
      <c r="A43" s="83" t="n"/>
      <c r="B43" s="83" t="n"/>
      <c r="C43" s="83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83" t="n"/>
    </row>
    <row r="44" ht="15" customHeight="1" s="82">
      <c r="A44" s="83" t="n"/>
      <c r="B44" s="83" t="n"/>
      <c r="C44" s="83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</row>
    <row r="45" ht="15" customHeight="1" s="82">
      <c r="A45" s="83" t="n"/>
      <c r="B45" s="83" t="n"/>
      <c r="C45" s="83" t="n"/>
      <c r="D45" s="83" t="n"/>
      <c r="E45" s="83" t="n"/>
      <c r="F45" s="83" t="n"/>
      <c r="G45" s="83" t="n"/>
      <c r="H45" s="83" t="n"/>
      <c r="I45" s="83" t="n"/>
      <c r="J45" s="83" t="n"/>
      <c r="K45" s="83" t="n"/>
      <c r="L45" s="83" t="n"/>
    </row>
    <row r="46" ht="15" customHeight="1" s="82">
      <c r="A46" s="83" t="n"/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</row>
    <row r="47" ht="15" customHeight="1" s="82">
      <c r="A47" s="83" t="n"/>
      <c r="B47" s="83" t="n"/>
      <c r="C47" s="83" t="n"/>
      <c r="D47" s="83" t="n"/>
      <c r="E47" s="83" t="n"/>
      <c r="F47" s="83" t="n"/>
      <c r="G47" s="83" t="n"/>
      <c r="H47" s="83" t="n"/>
      <c r="I47" s="83" t="n"/>
      <c r="J47" s="83" t="n"/>
      <c r="K47" s="83" t="n"/>
      <c r="L47" s="83" t="n"/>
    </row>
    <row r="48" ht="15" customHeight="1" s="82">
      <c r="A48" s="83" t="n"/>
      <c r="B48" s="83" t="n"/>
      <c r="C48" s="83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</row>
    <row r="49" ht="15" customHeight="1" s="82">
      <c r="A49" s="83" t="n"/>
      <c r="B49" s="83" t="n"/>
      <c r="C49" s="83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</row>
    <row r="50" ht="15" customHeight="1" s="82">
      <c r="A50" s="83" t="n"/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</row>
    <row r="51" ht="15" customHeight="1" s="82">
      <c r="A51" s="83" t="n"/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</row>
    <row r="52" ht="15" customHeight="1" s="82">
      <c r="A52" s="83" t="n"/>
      <c r="B52" s="121" t="n"/>
    </row>
    <row r="53" ht="15" customHeight="1" s="82">
      <c r="A53" s="83" t="n"/>
      <c r="B53" s="122" t="n"/>
      <c r="C53" s="122" t="n"/>
      <c r="D53" s="83" t="n"/>
      <c r="E53" s="83" t="n"/>
      <c r="F53" s="83" t="n"/>
      <c r="G53" s="83" t="n"/>
      <c r="H53" s="83" t="n"/>
      <c r="I53" s="83" t="n"/>
      <c r="J53" s="83" t="n"/>
      <c r="K53" s="83" t="n"/>
      <c r="L53" s="83" t="n"/>
    </row>
    <row r="54" ht="15" customHeight="1" s="82">
      <c r="A54" s="83" t="n"/>
      <c r="B54" s="123" t="n"/>
      <c r="C54" s="123" t="n"/>
      <c r="D54" s="83" t="n"/>
      <c r="E54" s="83" t="n"/>
      <c r="F54" s="83" t="n"/>
      <c r="G54" s="83" t="n"/>
      <c r="H54" s="83" t="n"/>
      <c r="I54" s="83" t="n"/>
      <c r="J54" s="83" t="n"/>
      <c r="K54" s="83" t="n"/>
      <c r="L54" s="83" t="n"/>
    </row>
    <row r="55" ht="15" customHeight="1" s="82">
      <c r="A55" s="83" t="n"/>
      <c r="B55" s="123" t="n"/>
      <c r="C55" s="12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</row>
    <row r="56" ht="15" customHeight="1" s="82">
      <c r="A56" s="83" t="n"/>
      <c r="B56" s="123" t="n"/>
      <c r="C56" s="12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</row>
    <row r="57" ht="15" customHeight="1" s="82">
      <c r="A57" s="83" t="n"/>
      <c r="B57" s="123" t="n"/>
      <c r="C57" s="12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</row>
    <row r="58" ht="15" customHeight="1" s="82">
      <c r="A58" s="83" t="n"/>
      <c r="B58" s="123" t="n"/>
      <c r="C58" s="12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</row>
    <row r="59" ht="15" customHeight="1" s="82">
      <c r="A59" s="83" t="n"/>
      <c r="B59" s="123" t="n"/>
      <c r="C59" s="12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</row>
    <row r="60" ht="15" customHeight="1" s="82">
      <c r="A60" s="83" t="n"/>
      <c r="B60" s="123" t="n"/>
      <c r="C60" s="12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</row>
    <row r="61" ht="15" customHeight="1" s="82">
      <c r="B61" s="124" t="n"/>
      <c r="C61" s="124" t="n"/>
    </row>
    <row r="62" ht="15" customHeight="1" s="82">
      <c r="B62" s="124" t="n"/>
      <c r="C62" s="124" t="n"/>
    </row>
    <row r="63" ht="15" customHeight="1" s="82">
      <c r="B63" s="124" t="n"/>
      <c r="C63" s="124" t="n"/>
    </row>
    <row r="64" ht="15" customHeight="1" s="82">
      <c r="B64" s="124" t="n"/>
      <c r="C64" s="124" t="n"/>
    </row>
    <row r="65" ht="15" customHeight="1" s="82">
      <c r="B65" s="124" t="n"/>
      <c r="C65" s="124" t="n"/>
    </row>
  </sheetData>
  <mergeCells count="32">
    <mergeCell ref="H13:K13"/>
    <mergeCell ref="D10:E10"/>
    <mergeCell ref="B7:C7"/>
    <mergeCell ref="J5:K5"/>
    <mergeCell ref="H10:I10"/>
    <mergeCell ref="J10:K10"/>
    <mergeCell ref="A3:L3"/>
    <mergeCell ref="H9:I9"/>
    <mergeCell ref="J9:K9"/>
    <mergeCell ref="A2:F2"/>
    <mergeCell ref="D6:E6"/>
    <mergeCell ref="B26:E26"/>
    <mergeCell ref="H6:I6"/>
    <mergeCell ref="B52:L52"/>
    <mergeCell ref="B11:C11"/>
    <mergeCell ref="J6:K6"/>
    <mergeCell ref="H26:K26"/>
    <mergeCell ref="D11:E11"/>
    <mergeCell ref="B13:F13"/>
    <mergeCell ref="H11:I11"/>
    <mergeCell ref="J11:K11"/>
    <mergeCell ref="D7:E7"/>
    <mergeCell ref="H7:I7"/>
    <mergeCell ref="J7:K7"/>
    <mergeCell ref="B10:C10"/>
    <mergeCell ref="B9:C9"/>
    <mergeCell ref="D9:E9"/>
    <mergeCell ref="B6:C6"/>
    <mergeCell ref="G2:L2"/>
    <mergeCell ref="B5:C5"/>
    <mergeCell ref="D5:E5"/>
    <mergeCell ref="H5:I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99582A"/>
    <outlinePr summaryBelow="1" summaryRight="1"/>
    <pageSetUpPr fitToPage="0"/>
  </sheetPr>
  <dimension ref="A1:G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1" min="1" max="1"/>
    <col width="22" customWidth="1" style="81" min="2" max="2"/>
    <col width="18" customWidth="1" style="81" min="3" max="3"/>
    <col width="26" customWidth="1" style="81" min="4" max="4"/>
    <col width="13" customWidth="1" style="81" min="5" max="5"/>
    <col width="14" customWidth="1" style="81" min="6" max="6"/>
    <col width="2" customWidth="1" style="81" min="7" max="7"/>
  </cols>
  <sheetData>
    <row r="1" ht="6" customHeight="1" s="82">
      <c r="A1" s="83" t="n"/>
      <c r="B1" s="83" t="n"/>
      <c r="C1" s="83" t="n"/>
      <c r="D1" s="83" t="n"/>
      <c r="E1" s="83" t="n"/>
      <c r="F1" s="83" t="n"/>
      <c r="G1" s="83" t="n"/>
    </row>
    <row r="2" ht="33.75" customHeight="1" s="82">
      <c r="A2" s="125" t="inlineStr">
        <is>
          <t xml:space="preserve">  📅 WEEKLY RENEWALS  —  This week's operational view</t>
        </is>
      </c>
      <c r="G2" s="83" t="n"/>
    </row>
    <row r="3" ht="19.5" customHeight="1" s="82">
      <c r="A3" s="126" t="inlineStr">
        <is>
          <t xml:space="preserve">  Refreshes automatically  ·  Policies grouped by due date, Monday through Sunday</t>
        </is>
      </c>
      <c r="G3" s="83" t="n"/>
    </row>
    <row r="4" ht="9.75" customHeight="1" s="82">
      <c r="A4" s="83" t="n"/>
      <c r="B4" s="83" t="n"/>
      <c r="C4" s="83" t="n"/>
      <c r="D4" s="83" t="n"/>
      <c r="E4" s="83" t="n"/>
      <c r="F4" s="83" t="n"/>
      <c r="G4" s="83" t="n"/>
    </row>
    <row r="5" hidden="1" ht="15" customHeight="1" s="82">
      <c r="A5" s="127">
        <f>TODAY()-WEEKDAY(TODAY(),3)</f>
        <v/>
      </c>
      <c r="B5" s="83" t="n"/>
      <c r="C5" s="83" t="n"/>
      <c r="D5" s="83" t="n"/>
      <c r="E5" s="83" t="n"/>
      <c r="F5" s="83" t="n"/>
      <c r="G5" s="83" t="n"/>
    </row>
    <row r="6" ht="15" customHeight="1" s="82">
      <c r="A6" s="83" t="n"/>
      <c r="B6" s="128">
        <f>"📅  " &amp; "MONDAY" &amp; "  ·  " &amp; TEXT(A5+0,"d mmm yyyy")</f>
        <v/>
      </c>
      <c r="G6" s="83" t="n"/>
    </row>
    <row r="7" ht="15" customHeight="1" s="82">
      <c r="A7" s="83" t="n"/>
      <c r="B7" s="129">
        <f>IF(COUNTIFS('Policy Register'!$F$5:$F$304,A5+0)=0,"No renewals scheduled.","")</f>
        <v/>
      </c>
      <c r="G7" s="83" t="n"/>
    </row>
    <row r="8" ht="15" customHeight="1" s="82">
      <c r="A8" s="83" t="n"/>
      <c r="B8" s="130" t="inlineStr">
        <is>
          <t>CLIENT</t>
        </is>
      </c>
      <c r="C8" s="130" t="inlineStr">
        <is>
          <t>CLASS</t>
        </is>
      </c>
      <c r="D8" s="130" t="inlineStr">
        <is>
          <t>DESCRIPTION</t>
        </is>
      </c>
      <c r="E8" s="130" t="inlineStr">
        <is>
          <t>DUE DATE</t>
        </is>
      </c>
      <c r="F8" s="130" t="inlineStr">
        <is>
          <t>STATUS</t>
        </is>
      </c>
      <c r="G8" s="83" t="n"/>
    </row>
    <row r="9" ht="15" customHeight="1" s="82">
      <c r="A9" s="83" t="n"/>
      <c r="B9" s="110">
        <f>IFERROR(INDEX('Policy Register'!$C:$C,MATCH(TEXT(A5+0,"yyyymmdd")&amp;"-"&amp;1,'Policy Register'!$O:$O,0)),"")</f>
        <v/>
      </c>
      <c r="C9" s="110">
        <f>IFERROR(INDEX('Policy Register'!$D:$D,MATCH(TEXT(A5+0,"yyyymmdd")&amp;"-"&amp;1,'Policy Register'!$O:$O,0)),"")</f>
        <v/>
      </c>
      <c r="D9" s="110">
        <f>IFERROR(INDEX('Policy Register'!$E:$E,MATCH(TEXT(A5+0,"yyyymmdd")&amp;"-"&amp;1,'Policy Register'!$O:$O,0)),"")</f>
        <v/>
      </c>
      <c r="E9" s="111">
        <f>IFERROR(INDEX('Policy Register'!$F:$F,MATCH(TEXT(A5+0,"yyyymmdd")&amp;"-"&amp;1,'Policy Register'!$O:$O,0)),"")</f>
        <v/>
      </c>
      <c r="F9" s="110">
        <f>IFERROR(INDEX('Policy Register'!$G:$G,MATCH(TEXT(A5+0,"yyyymmdd")&amp;"-"&amp;1,'Policy Register'!$O:$O,0)),"")</f>
        <v/>
      </c>
      <c r="G9" s="83" t="n"/>
    </row>
    <row r="10" ht="15" customHeight="1" s="82">
      <c r="A10" s="83" t="n"/>
      <c r="B10" s="131">
        <f>IFERROR(INDEX('Policy Register'!$C:$C,MATCH(TEXT(A5+0,"yyyymmdd")&amp;"-"&amp;2,'Policy Register'!$O:$O,0)),"")</f>
        <v/>
      </c>
      <c r="C10" s="131">
        <f>IFERROR(INDEX('Policy Register'!$D:$D,MATCH(TEXT(A5+0,"yyyymmdd")&amp;"-"&amp;2,'Policy Register'!$O:$O,0)),"")</f>
        <v/>
      </c>
      <c r="D10" s="131">
        <f>IFERROR(INDEX('Policy Register'!$E:$E,MATCH(TEXT(A5+0,"yyyymmdd")&amp;"-"&amp;2,'Policy Register'!$O:$O,0)),"")</f>
        <v/>
      </c>
      <c r="E10" s="132">
        <f>IFERROR(INDEX('Policy Register'!$F:$F,MATCH(TEXT(A5+0,"yyyymmdd")&amp;"-"&amp;2,'Policy Register'!$O:$O,0)),"")</f>
        <v/>
      </c>
      <c r="F10" s="131">
        <f>IFERROR(INDEX('Policy Register'!$G:$G,MATCH(TEXT(A5+0,"yyyymmdd")&amp;"-"&amp;2,'Policy Register'!$O:$O,0)),"")</f>
        <v/>
      </c>
      <c r="G10" s="83" t="n"/>
    </row>
    <row r="11" ht="15" customHeight="1" s="82">
      <c r="A11" s="83" t="n"/>
      <c r="B11" s="110">
        <f>IFERROR(INDEX('Policy Register'!$C:$C,MATCH(TEXT(A5+0,"yyyymmdd")&amp;"-"&amp;3,'Policy Register'!$O:$O,0)),"")</f>
        <v/>
      </c>
      <c r="C11" s="110">
        <f>IFERROR(INDEX('Policy Register'!$D:$D,MATCH(TEXT(A5+0,"yyyymmdd")&amp;"-"&amp;3,'Policy Register'!$O:$O,0)),"")</f>
        <v/>
      </c>
      <c r="D11" s="110">
        <f>IFERROR(INDEX('Policy Register'!$E:$E,MATCH(TEXT(A5+0,"yyyymmdd")&amp;"-"&amp;3,'Policy Register'!$O:$O,0)),"")</f>
        <v/>
      </c>
      <c r="E11" s="111">
        <f>IFERROR(INDEX('Policy Register'!$F:$F,MATCH(TEXT(A5+0,"yyyymmdd")&amp;"-"&amp;3,'Policy Register'!$O:$O,0)),"")</f>
        <v/>
      </c>
      <c r="F11" s="110">
        <f>IFERROR(INDEX('Policy Register'!$G:$G,MATCH(TEXT(A5+0,"yyyymmdd")&amp;"-"&amp;3,'Policy Register'!$O:$O,0)),"")</f>
        <v/>
      </c>
      <c r="G11" s="83" t="n"/>
    </row>
    <row r="12" ht="15" customHeight="1" s="82">
      <c r="A12" s="83" t="n"/>
      <c r="B12" s="131">
        <f>IFERROR(INDEX('Policy Register'!$C:$C,MATCH(TEXT(A5+0,"yyyymmdd")&amp;"-"&amp;4,'Policy Register'!$O:$O,0)),"")</f>
        <v/>
      </c>
      <c r="C12" s="131">
        <f>IFERROR(INDEX('Policy Register'!$D:$D,MATCH(TEXT(A5+0,"yyyymmdd")&amp;"-"&amp;4,'Policy Register'!$O:$O,0)),"")</f>
        <v/>
      </c>
      <c r="D12" s="131">
        <f>IFERROR(INDEX('Policy Register'!$E:$E,MATCH(TEXT(A5+0,"yyyymmdd")&amp;"-"&amp;4,'Policy Register'!$O:$O,0)),"")</f>
        <v/>
      </c>
      <c r="E12" s="132">
        <f>IFERROR(INDEX('Policy Register'!$F:$F,MATCH(TEXT(A5+0,"yyyymmdd")&amp;"-"&amp;4,'Policy Register'!$O:$O,0)),"")</f>
        <v/>
      </c>
      <c r="F12" s="131">
        <f>IFERROR(INDEX('Policy Register'!$G:$G,MATCH(TEXT(A5+0,"yyyymmdd")&amp;"-"&amp;4,'Policy Register'!$O:$O,0)),"")</f>
        <v/>
      </c>
      <c r="G12" s="83" t="n"/>
    </row>
    <row r="13" ht="15" customHeight="1" s="82">
      <c r="A13" s="83" t="n"/>
      <c r="B13" s="83" t="n"/>
      <c r="C13" s="83" t="n"/>
      <c r="D13" s="83" t="n"/>
      <c r="E13" s="83" t="n"/>
      <c r="F13" s="83" t="n"/>
      <c r="G13" s="83" t="n"/>
    </row>
    <row r="14" ht="15" customHeight="1" s="82">
      <c r="A14" s="83" t="n"/>
      <c r="B14" s="128">
        <f>"📅  " &amp; "TUESDAY" &amp; "  ·  " &amp; TEXT(A5+1,"d mmm yyyy")</f>
        <v/>
      </c>
      <c r="G14" s="83" t="n"/>
    </row>
    <row r="15" ht="15" customHeight="1" s="82">
      <c r="A15" s="83" t="n"/>
      <c r="B15" s="129">
        <f>IF(COUNTIFS('Policy Register'!$F$5:$F$304,A5+1)=0,"No renewals scheduled.","")</f>
        <v/>
      </c>
      <c r="G15" s="83" t="n"/>
    </row>
    <row r="16" ht="15" customHeight="1" s="82">
      <c r="A16" s="83" t="n"/>
      <c r="B16" s="130" t="inlineStr">
        <is>
          <t>CLIENT</t>
        </is>
      </c>
      <c r="C16" s="130" t="inlineStr">
        <is>
          <t>CLASS</t>
        </is>
      </c>
      <c r="D16" s="130" t="inlineStr">
        <is>
          <t>DESCRIPTION</t>
        </is>
      </c>
      <c r="E16" s="130" t="inlineStr">
        <is>
          <t>DUE DATE</t>
        </is>
      </c>
      <c r="F16" s="130" t="inlineStr">
        <is>
          <t>STATUS</t>
        </is>
      </c>
      <c r="G16" s="83" t="n"/>
    </row>
    <row r="17" ht="15" customHeight="1" s="82">
      <c r="A17" s="83" t="n"/>
      <c r="B17" s="110">
        <f>IFERROR(INDEX('Policy Register'!$C:$C,MATCH(TEXT(A5+1,"yyyymmdd")&amp;"-"&amp;1,'Policy Register'!$O:$O,0)),"")</f>
        <v/>
      </c>
      <c r="C17" s="110">
        <f>IFERROR(INDEX('Policy Register'!$D:$D,MATCH(TEXT(A5+1,"yyyymmdd")&amp;"-"&amp;1,'Policy Register'!$O:$O,0)),"")</f>
        <v/>
      </c>
      <c r="D17" s="110">
        <f>IFERROR(INDEX('Policy Register'!$E:$E,MATCH(TEXT(A5+1,"yyyymmdd")&amp;"-"&amp;1,'Policy Register'!$O:$O,0)),"")</f>
        <v/>
      </c>
      <c r="E17" s="111">
        <f>IFERROR(INDEX('Policy Register'!$F:$F,MATCH(TEXT(A5+1,"yyyymmdd")&amp;"-"&amp;1,'Policy Register'!$O:$O,0)),"")</f>
        <v/>
      </c>
      <c r="F17" s="110">
        <f>IFERROR(INDEX('Policy Register'!$G:$G,MATCH(TEXT(A5+1,"yyyymmdd")&amp;"-"&amp;1,'Policy Register'!$O:$O,0)),"")</f>
        <v/>
      </c>
      <c r="G17" s="83" t="n"/>
    </row>
    <row r="18" ht="15" customHeight="1" s="82">
      <c r="A18" s="83" t="n"/>
      <c r="B18" s="131">
        <f>IFERROR(INDEX('Policy Register'!$C:$C,MATCH(TEXT(A5+1,"yyyymmdd")&amp;"-"&amp;2,'Policy Register'!$O:$O,0)),"")</f>
        <v/>
      </c>
      <c r="C18" s="131">
        <f>IFERROR(INDEX('Policy Register'!$D:$D,MATCH(TEXT(A5+1,"yyyymmdd")&amp;"-"&amp;2,'Policy Register'!$O:$O,0)),"")</f>
        <v/>
      </c>
      <c r="D18" s="131">
        <f>IFERROR(INDEX('Policy Register'!$E:$E,MATCH(TEXT(A5+1,"yyyymmdd")&amp;"-"&amp;2,'Policy Register'!$O:$O,0)),"")</f>
        <v/>
      </c>
      <c r="E18" s="132">
        <f>IFERROR(INDEX('Policy Register'!$F:$F,MATCH(TEXT(A5+1,"yyyymmdd")&amp;"-"&amp;2,'Policy Register'!$O:$O,0)),"")</f>
        <v/>
      </c>
      <c r="F18" s="131">
        <f>IFERROR(INDEX('Policy Register'!$G:$G,MATCH(TEXT(A5+1,"yyyymmdd")&amp;"-"&amp;2,'Policy Register'!$O:$O,0)),"")</f>
        <v/>
      </c>
      <c r="G18" s="83" t="n"/>
    </row>
    <row r="19" ht="15" customHeight="1" s="82">
      <c r="A19" s="83" t="n"/>
      <c r="B19" s="110">
        <f>IFERROR(INDEX('Policy Register'!$C:$C,MATCH(TEXT(A5+1,"yyyymmdd")&amp;"-"&amp;3,'Policy Register'!$O:$O,0)),"")</f>
        <v/>
      </c>
      <c r="C19" s="110">
        <f>IFERROR(INDEX('Policy Register'!$D:$D,MATCH(TEXT(A5+1,"yyyymmdd")&amp;"-"&amp;3,'Policy Register'!$O:$O,0)),"")</f>
        <v/>
      </c>
      <c r="D19" s="110">
        <f>IFERROR(INDEX('Policy Register'!$E:$E,MATCH(TEXT(A5+1,"yyyymmdd")&amp;"-"&amp;3,'Policy Register'!$O:$O,0)),"")</f>
        <v/>
      </c>
      <c r="E19" s="111">
        <f>IFERROR(INDEX('Policy Register'!$F:$F,MATCH(TEXT(A5+1,"yyyymmdd")&amp;"-"&amp;3,'Policy Register'!$O:$O,0)),"")</f>
        <v/>
      </c>
      <c r="F19" s="110">
        <f>IFERROR(INDEX('Policy Register'!$G:$G,MATCH(TEXT(A5+1,"yyyymmdd")&amp;"-"&amp;3,'Policy Register'!$O:$O,0)),"")</f>
        <v/>
      </c>
      <c r="G19" s="83" t="n"/>
    </row>
    <row r="20" ht="15" customHeight="1" s="82">
      <c r="A20" s="83" t="n"/>
      <c r="B20" s="131">
        <f>IFERROR(INDEX('Policy Register'!$C:$C,MATCH(TEXT(A5+1,"yyyymmdd")&amp;"-"&amp;4,'Policy Register'!$O:$O,0)),"")</f>
        <v/>
      </c>
      <c r="C20" s="131">
        <f>IFERROR(INDEX('Policy Register'!$D:$D,MATCH(TEXT(A5+1,"yyyymmdd")&amp;"-"&amp;4,'Policy Register'!$O:$O,0)),"")</f>
        <v/>
      </c>
      <c r="D20" s="131">
        <f>IFERROR(INDEX('Policy Register'!$E:$E,MATCH(TEXT(A5+1,"yyyymmdd")&amp;"-"&amp;4,'Policy Register'!$O:$O,0)),"")</f>
        <v/>
      </c>
      <c r="E20" s="132">
        <f>IFERROR(INDEX('Policy Register'!$F:$F,MATCH(TEXT(A5+1,"yyyymmdd")&amp;"-"&amp;4,'Policy Register'!$O:$O,0)),"")</f>
        <v/>
      </c>
      <c r="F20" s="131">
        <f>IFERROR(INDEX('Policy Register'!$G:$G,MATCH(TEXT(A5+1,"yyyymmdd")&amp;"-"&amp;4,'Policy Register'!$O:$O,0)),"")</f>
        <v/>
      </c>
      <c r="G20" s="83" t="n"/>
    </row>
    <row r="21" ht="15" customHeight="1" s="82">
      <c r="A21" s="83" t="n"/>
      <c r="B21" s="83" t="n"/>
      <c r="C21" s="83" t="n"/>
      <c r="D21" s="83" t="n"/>
      <c r="E21" s="83" t="n"/>
      <c r="F21" s="83" t="n"/>
      <c r="G21" s="83" t="n"/>
    </row>
    <row r="22" ht="15" customHeight="1" s="82">
      <c r="A22" s="83" t="n"/>
      <c r="B22" s="128">
        <f>"📅  " &amp; "WEDNESDAY" &amp; "  ·  " &amp; TEXT(A5+2,"d mmm yyyy")</f>
        <v/>
      </c>
      <c r="G22" s="83" t="n"/>
    </row>
    <row r="23" ht="15" customHeight="1" s="82">
      <c r="A23" s="83" t="n"/>
      <c r="B23" s="129">
        <f>IF(COUNTIFS('Policy Register'!$F$5:$F$304,A5+2)=0,"No renewals scheduled.","")</f>
        <v/>
      </c>
      <c r="G23" s="83" t="n"/>
    </row>
    <row r="24" ht="15" customHeight="1" s="82">
      <c r="A24" s="83" t="n"/>
      <c r="B24" s="130" t="inlineStr">
        <is>
          <t>CLIENT</t>
        </is>
      </c>
      <c r="C24" s="130" t="inlineStr">
        <is>
          <t>CLASS</t>
        </is>
      </c>
      <c r="D24" s="130" t="inlineStr">
        <is>
          <t>DESCRIPTION</t>
        </is>
      </c>
      <c r="E24" s="130" t="inlineStr">
        <is>
          <t>DUE DATE</t>
        </is>
      </c>
      <c r="F24" s="130" t="inlineStr">
        <is>
          <t>STATUS</t>
        </is>
      </c>
      <c r="G24" s="83" t="n"/>
    </row>
    <row r="25" ht="15" customHeight="1" s="82">
      <c r="A25" s="83" t="n"/>
      <c r="B25" s="110">
        <f>IFERROR(INDEX('Policy Register'!$C:$C,MATCH(TEXT(A5+2,"yyyymmdd")&amp;"-"&amp;1,'Policy Register'!$O:$O,0)),"")</f>
        <v/>
      </c>
      <c r="C25" s="110">
        <f>IFERROR(INDEX('Policy Register'!$D:$D,MATCH(TEXT(A5+2,"yyyymmdd")&amp;"-"&amp;1,'Policy Register'!$O:$O,0)),"")</f>
        <v/>
      </c>
      <c r="D25" s="110">
        <f>IFERROR(INDEX('Policy Register'!$E:$E,MATCH(TEXT(A5+2,"yyyymmdd")&amp;"-"&amp;1,'Policy Register'!$O:$O,0)),"")</f>
        <v/>
      </c>
      <c r="E25" s="111">
        <f>IFERROR(INDEX('Policy Register'!$F:$F,MATCH(TEXT(A5+2,"yyyymmdd")&amp;"-"&amp;1,'Policy Register'!$O:$O,0)),"")</f>
        <v/>
      </c>
      <c r="F25" s="110">
        <f>IFERROR(INDEX('Policy Register'!$G:$G,MATCH(TEXT(A5+2,"yyyymmdd")&amp;"-"&amp;1,'Policy Register'!$O:$O,0)),"")</f>
        <v/>
      </c>
      <c r="G25" s="83" t="n"/>
    </row>
    <row r="26" ht="15" customHeight="1" s="82">
      <c r="A26" s="83" t="n"/>
      <c r="B26" s="131">
        <f>IFERROR(INDEX('Policy Register'!$C:$C,MATCH(TEXT(A5+2,"yyyymmdd")&amp;"-"&amp;2,'Policy Register'!$O:$O,0)),"")</f>
        <v/>
      </c>
      <c r="C26" s="131">
        <f>IFERROR(INDEX('Policy Register'!$D:$D,MATCH(TEXT(A5+2,"yyyymmdd")&amp;"-"&amp;2,'Policy Register'!$O:$O,0)),"")</f>
        <v/>
      </c>
      <c r="D26" s="131">
        <f>IFERROR(INDEX('Policy Register'!$E:$E,MATCH(TEXT(A5+2,"yyyymmdd")&amp;"-"&amp;2,'Policy Register'!$O:$O,0)),"")</f>
        <v/>
      </c>
      <c r="E26" s="132">
        <f>IFERROR(INDEX('Policy Register'!$F:$F,MATCH(TEXT(A5+2,"yyyymmdd")&amp;"-"&amp;2,'Policy Register'!$O:$O,0)),"")</f>
        <v/>
      </c>
      <c r="F26" s="131">
        <f>IFERROR(INDEX('Policy Register'!$G:$G,MATCH(TEXT(A5+2,"yyyymmdd")&amp;"-"&amp;2,'Policy Register'!$O:$O,0)),"")</f>
        <v/>
      </c>
      <c r="G26" s="83" t="n"/>
    </row>
    <row r="27" ht="15" customHeight="1" s="82">
      <c r="A27" s="83" t="n"/>
      <c r="B27" s="110">
        <f>IFERROR(INDEX('Policy Register'!$C:$C,MATCH(TEXT(A5+2,"yyyymmdd")&amp;"-"&amp;3,'Policy Register'!$O:$O,0)),"")</f>
        <v/>
      </c>
      <c r="C27" s="110">
        <f>IFERROR(INDEX('Policy Register'!$D:$D,MATCH(TEXT(A5+2,"yyyymmdd")&amp;"-"&amp;3,'Policy Register'!$O:$O,0)),"")</f>
        <v/>
      </c>
      <c r="D27" s="110">
        <f>IFERROR(INDEX('Policy Register'!$E:$E,MATCH(TEXT(A5+2,"yyyymmdd")&amp;"-"&amp;3,'Policy Register'!$O:$O,0)),"")</f>
        <v/>
      </c>
      <c r="E27" s="111">
        <f>IFERROR(INDEX('Policy Register'!$F:$F,MATCH(TEXT(A5+2,"yyyymmdd")&amp;"-"&amp;3,'Policy Register'!$O:$O,0)),"")</f>
        <v/>
      </c>
      <c r="F27" s="110">
        <f>IFERROR(INDEX('Policy Register'!$G:$G,MATCH(TEXT(A5+2,"yyyymmdd")&amp;"-"&amp;3,'Policy Register'!$O:$O,0)),"")</f>
        <v/>
      </c>
      <c r="G27" s="83" t="n"/>
    </row>
    <row r="28" ht="15" customHeight="1" s="82">
      <c r="A28" s="83" t="n"/>
      <c r="B28" s="131">
        <f>IFERROR(INDEX('Policy Register'!$C:$C,MATCH(TEXT(A5+2,"yyyymmdd")&amp;"-"&amp;4,'Policy Register'!$O:$O,0)),"")</f>
        <v/>
      </c>
      <c r="C28" s="131">
        <f>IFERROR(INDEX('Policy Register'!$D:$D,MATCH(TEXT(A5+2,"yyyymmdd")&amp;"-"&amp;4,'Policy Register'!$O:$O,0)),"")</f>
        <v/>
      </c>
      <c r="D28" s="131">
        <f>IFERROR(INDEX('Policy Register'!$E:$E,MATCH(TEXT(A5+2,"yyyymmdd")&amp;"-"&amp;4,'Policy Register'!$O:$O,0)),"")</f>
        <v/>
      </c>
      <c r="E28" s="132">
        <f>IFERROR(INDEX('Policy Register'!$F:$F,MATCH(TEXT(A5+2,"yyyymmdd")&amp;"-"&amp;4,'Policy Register'!$O:$O,0)),"")</f>
        <v/>
      </c>
      <c r="F28" s="131">
        <f>IFERROR(INDEX('Policy Register'!$G:$G,MATCH(TEXT(A5+2,"yyyymmdd")&amp;"-"&amp;4,'Policy Register'!$O:$O,0)),"")</f>
        <v/>
      </c>
      <c r="G28" s="83" t="n"/>
    </row>
    <row r="29" ht="15" customHeight="1" s="82">
      <c r="A29" s="83" t="n"/>
      <c r="B29" s="83" t="n"/>
      <c r="C29" s="83" t="n"/>
      <c r="D29" s="83" t="n"/>
      <c r="E29" s="83" t="n"/>
      <c r="F29" s="83" t="n"/>
      <c r="G29" s="83" t="n"/>
    </row>
    <row r="30" ht="15" customHeight="1" s="82">
      <c r="A30" s="83" t="n"/>
      <c r="B30" s="128">
        <f>"📅  " &amp; "THURSDAY" &amp; "  ·  " &amp; TEXT(A5+3,"d mmm yyyy")</f>
        <v/>
      </c>
      <c r="G30" s="83" t="n"/>
    </row>
    <row r="31" ht="15" customHeight="1" s="82">
      <c r="A31" s="83" t="n"/>
      <c r="B31" s="129">
        <f>IF(COUNTIFS('Policy Register'!$F$5:$F$304,A5+3)=0,"No renewals scheduled.","")</f>
        <v/>
      </c>
      <c r="G31" s="83" t="n"/>
    </row>
    <row r="32" ht="15" customHeight="1" s="82">
      <c r="A32" s="83" t="n"/>
      <c r="B32" s="130" t="inlineStr">
        <is>
          <t>CLIENT</t>
        </is>
      </c>
      <c r="C32" s="130" t="inlineStr">
        <is>
          <t>CLASS</t>
        </is>
      </c>
      <c r="D32" s="130" t="inlineStr">
        <is>
          <t>DESCRIPTION</t>
        </is>
      </c>
      <c r="E32" s="130" t="inlineStr">
        <is>
          <t>DUE DATE</t>
        </is>
      </c>
      <c r="F32" s="130" t="inlineStr">
        <is>
          <t>STATUS</t>
        </is>
      </c>
      <c r="G32" s="83" t="n"/>
    </row>
    <row r="33" ht="15" customHeight="1" s="82">
      <c r="A33" s="83" t="n"/>
      <c r="B33" s="110">
        <f>IFERROR(INDEX('Policy Register'!$C:$C,MATCH(TEXT(A5+3,"yyyymmdd")&amp;"-"&amp;1,'Policy Register'!$O:$O,0)),"")</f>
        <v/>
      </c>
      <c r="C33" s="110">
        <f>IFERROR(INDEX('Policy Register'!$D:$D,MATCH(TEXT(A5+3,"yyyymmdd")&amp;"-"&amp;1,'Policy Register'!$O:$O,0)),"")</f>
        <v/>
      </c>
      <c r="D33" s="110">
        <f>IFERROR(INDEX('Policy Register'!$E:$E,MATCH(TEXT(A5+3,"yyyymmdd")&amp;"-"&amp;1,'Policy Register'!$O:$O,0)),"")</f>
        <v/>
      </c>
      <c r="E33" s="111">
        <f>IFERROR(INDEX('Policy Register'!$F:$F,MATCH(TEXT(A5+3,"yyyymmdd")&amp;"-"&amp;1,'Policy Register'!$O:$O,0)),"")</f>
        <v/>
      </c>
      <c r="F33" s="110">
        <f>IFERROR(INDEX('Policy Register'!$G:$G,MATCH(TEXT(A5+3,"yyyymmdd")&amp;"-"&amp;1,'Policy Register'!$O:$O,0)),"")</f>
        <v/>
      </c>
      <c r="G33" s="83" t="n"/>
    </row>
    <row r="34" ht="15" customHeight="1" s="82">
      <c r="A34" s="83" t="n"/>
      <c r="B34" s="131">
        <f>IFERROR(INDEX('Policy Register'!$C:$C,MATCH(TEXT(A5+3,"yyyymmdd")&amp;"-"&amp;2,'Policy Register'!$O:$O,0)),"")</f>
        <v/>
      </c>
      <c r="C34" s="131">
        <f>IFERROR(INDEX('Policy Register'!$D:$D,MATCH(TEXT(A5+3,"yyyymmdd")&amp;"-"&amp;2,'Policy Register'!$O:$O,0)),"")</f>
        <v/>
      </c>
      <c r="D34" s="131">
        <f>IFERROR(INDEX('Policy Register'!$E:$E,MATCH(TEXT(A5+3,"yyyymmdd")&amp;"-"&amp;2,'Policy Register'!$O:$O,0)),"")</f>
        <v/>
      </c>
      <c r="E34" s="132">
        <f>IFERROR(INDEX('Policy Register'!$F:$F,MATCH(TEXT(A5+3,"yyyymmdd")&amp;"-"&amp;2,'Policy Register'!$O:$O,0)),"")</f>
        <v/>
      </c>
      <c r="F34" s="131">
        <f>IFERROR(INDEX('Policy Register'!$G:$G,MATCH(TEXT(A5+3,"yyyymmdd")&amp;"-"&amp;2,'Policy Register'!$O:$O,0)),"")</f>
        <v/>
      </c>
      <c r="G34" s="83" t="n"/>
    </row>
    <row r="35" ht="15" customHeight="1" s="82">
      <c r="A35" s="83" t="n"/>
      <c r="B35" s="110">
        <f>IFERROR(INDEX('Policy Register'!$C:$C,MATCH(TEXT(A5+3,"yyyymmdd")&amp;"-"&amp;3,'Policy Register'!$O:$O,0)),"")</f>
        <v/>
      </c>
      <c r="C35" s="110">
        <f>IFERROR(INDEX('Policy Register'!$D:$D,MATCH(TEXT(A5+3,"yyyymmdd")&amp;"-"&amp;3,'Policy Register'!$O:$O,0)),"")</f>
        <v/>
      </c>
      <c r="D35" s="110">
        <f>IFERROR(INDEX('Policy Register'!$E:$E,MATCH(TEXT(A5+3,"yyyymmdd")&amp;"-"&amp;3,'Policy Register'!$O:$O,0)),"")</f>
        <v/>
      </c>
      <c r="E35" s="111">
        <f>IFERROR(INDEX('Policy Register'!$F:$F,MATCH(TEXT(A5+3,"yyyymmdd")&amp;"-"&amp;3,'Policy Register'!$O:$O,0)),"")</f>
        <v/>
      </c>
      <c r="F35" s="110">
        <f>IFERROR(INDEX('Policy Register'!$G:$G,MATCH(TEXT(A5+3,"yyyymmdd")&amp;"-"&amp;3,'Policy Register'!$O:$O,0)),"")</f>
        <v/>
      </c>
      <c r="G35" s="83" t="n"/>
    </row>
    <row r="36" ht="15" customHeight="1" s="82">
      <c r="A36" s="83" t="n"/>
      <c r="B36" s="131">
        <f>IFERROR(INDEX('Policy Register'!$C:$C,MATCH(TEXT(A5+3,"yyyymmdd")&amp;"-"&amp;4,'Policy Register'!$O:$O,0)),"")</f>
        <v/>
      </c>
      <c r="C36" s="131">
        <f>IFERROR(INDEX('Policy Register'!$D:$D,MATCH(TEXT(A5+3,"yyyymmdd")&amp;"-"&amp;4,'Policy Register'!$O:$O,0)),"")</f>
        <v/>
      </c>
      <c r="D36" s="131">
        <f>IFERROR(INDEX('Policy Register'!$E:$E,MATCH(TEXT(A5+3,"yyyymmdd")&amp;"-"&amp;4,'Policy Register'!$O:$O,0)),"")</f>
        <v/>
      </c>
      <c r="E36" s="132">
        <f>IFERROR(INDEX('Policy Register'!$F:$F,MATCH(TEXT(A5+3,"yyyymmdd")&amp;"-"&amp;4,'Policy Register'!$O:$O,0)),"")</f>
        <v/>
      </c>
      <c r="F36" s="131">
        <f>IFERROR(INDEX('Policy Register'!$G:$G,MATCH(TEXT(A5+3,"yyyymmdd")&amp;"-"&amp;4,'Policy Register'!$O:$O,0)),"")</f>
        <v/>
      </c>
      <c r="G36" s="83" t="n"/>
    </row>
    <row r="37" ht="15" customHeight="1" s="82">
      <c r="A37" s="83" t="n"/>
      <c r="B37" s="83" t="n"/>
      <c r="C37" s="83" t="n"/>
      <c r="D37" s="83" t="n"/>
      <c r="E37" s="83" t="n"/>
      <c r="F37" s="83" t="n"/>
      <c r="G37" s="83" t="n"/>
    </row>
    <row r="38" ht="15" customHeight="1" s="82">
      <c r="A38" s="83" t="n"/>
      <c r="B38" s="128">
        <f>"📅  " &amp; "FRIDAY" &amp; "  ·  " &amp; TEXT(A5+4,"d mmm yyyy")</f>
        <v/>
      </c>
      <c r="G38" s="83" t="n"/>
    </row>
    <row r="39" ht="15" customHeight="1" s="82">
      <c r="A39" s="83" t="n"/>
      <c r="B39" s="129">
        <f>IF(COUNTIFS('Policy Register'!$F$5:$F$304,A5+4)=0,"No renewals scheduled.","")</f>
        <v/>
      </c>
      <c r="G39" s="83" t="n"/>
    </row>
    <row r="40" ht="15" customHeight="1" s="82">
      <c r="A40" s="83" t="n"/>
      <c r="B40" s="130" t="inlineStr">
        <is>
          <t>CLIENT</t>
        </is>
      </c>
      <c r="C40" s="130" t="inlineStr">
        <is>
          <t>CLASS</t>
        </is>
      </c>
      <c r="D40" s="130" t="inlineStr">
        <is>
          <t>DESCRIPTION</t>
        </is>
      </c>
      <c r="E40" s="130" t="inlineStr">
        <is>
          <t>DUE DATE</t>
        </is>
      </c>
      <c r="F40" s="130" t="inlineStr">
        <is>
          <t>STATUS</t>
        </is>
      </c>
      <c r="G40" s="83" t="n"/>
    </row>
    <row r="41" ht="15" customHeight="1" s="82">
      <c r="A41" s="83" t="n"/>
      <c r="B41" s="110">
        <f>IFERROR(INDEX('Policy Register'!$C:$C,MATCH(TEXT(A5+4,"yyyymmdd")&amp;"-"&amp;1,'Policy Register'!$O:$O,0)),"")</f>
        <v/>
      </c>
      <c r="C41" s="110">
        <f>IFERROR(INDEX('Policy Register'!$D:$D,MATCH(TEXT(A5+4,"yyyymmdd")&amp;"-"&amp;1,'Policy Register'!$O:$O,0)),"")</f>
        <v/>
      </c>
      <c r="D41" s="110">
        <f>IFERROR(INDEX('Policy Register'!$E:$E,MATCH(TEXT(A5+4,"yyyymmdd")&amp;"-"&amp;1,'Policy Register'!$O:$O,0)),"")</f>
        <v/>
      </c>
      <c r="E41" s="111">
        <f>IFERROR(INDEX('Policy Register'!$F:$F,MATCH(TEXT(A5+4,"yyyymmdd")&amp;"-"&amp;1,'Policy Register'!$O:$O,0)),"")</f>
        <v/>
      </c>
      <c r="F41" s="110">
        <f>IFERROR(INDEX('Policy Register'!$G:$G,MATCH(TEXT(A5+4,"yyyymmdd")&amp;"-"&amp;1,'Policy Register'!$O:$O,0)),"")</f>
        <v/>
      </c>
      <c r="G41" s="83" t="n"/>
    </row>
    <row r="42" ht="15" customHeight="1" s="82">
      <c r="A42" s="83" t="n"/>
      <c r="B42" s="131">
        <f>IFERROR(INDEX('Policy Register'!$C:$C,MATCH(TEXT(A5+4,"yyyymmdd")&amp;"-"&amp;2,'Policy Register'!$O:$O,0)),"")</f>
        <v/>
      </c>
      <c r="C42" s="131">
        <f>IFERROR(INDEX('Policy Register'!$D:$D,MATCH(TEXT(A5+4,"yyyymmdd")&amp;"-"&amp;2,'Policy Register'!$O:$O,0)),"")</f>
        <v/>
      </c>
      <c r="D42" s="131">
        <f>IFERROR(INDEX('Policy Register'!$E:$E,MATCH(TEXT(A5+4,"yyyymmdd")&amp;"-"&amp;2,'Policy Register'!$O:$O,0)),"")</f>
        <v/>
      </c>
      <c r="E42" s="132">
        <f>IFERROR(INDEX('Policy Register'!$F:$F,MATCH(TEXT(A5+4,"yyyymmdd")&amp;"-"&amp;2,'Policy Register'!$O:$O,0)),"")</f>
        <v/>
      </c>
      <c r="F42" s="131">
        <f>IFERROR(INDEX('Policy Register'!$G:$G,MATCH(TEXT(A5+4,"yyyymmdd")&amp;"-"&amp;2,'Policy Register'!$O:$O,0)),"")</f>
        <v/>
      </c>
      <c r="G42" s="83" t="n"/>
    </row>
    <row r="43" ht="15" customHeight="1" s="82">
      <c r="A43" s="83" t="n"/>
      <c r="B43" s="110">
        <f>IFERROR(INDEX('Policy Register'!$C:$C,MATCH(TEXT(A5+4,"yyyymmdd")&amp;"-"&amp;3,'Policy Register'!$O:$O,0)),"")</f>
        <v/>
      </c>
      <c r="C43" s="110">
        <f>IFERROR(INDEX('Policy Register'!$D:$D,MATCH(TEXT(A5+4,"yyyymmdd")&amp;"-"&amp;3,'Policy Register'!$O:$O,0)),"")</f>
        <v/>
      </c>
      <c r="D43" s="110">
        <f>IFERROR(INDEX('Policy Register'!$E:$E,MATCH(TEXT(A5+4,"yyyymmdd")&amp;"-"&amp;3,'Policy Register'!$O:$O,0)),"")</f>
        <v/>
      </c>
      <c r="E43" s="111">
        <f>IFERROR(INDEX('Policy Register'!$F:$F,MATCH(TEXT(A5+4,"yyyymmdd")&amp;"-"&amp;3,'Policy Register'!$O:$O,0)),"")</f>
        <v/>
      </c>
      <c r="F43" s="110">
        <f>IFERROR(INDEX('Policy Register'!$G:$G,MATCH(TEXT(A5+4,"yyyymmdd")&amp;"-"&amp;3,'Policy Register'!$O:$O,0)),"")</f>
        <v/>
      </c>
      <c r="G43" s="83" t="n"/>
    </row>
    <row r="44" ht="15" customHeight="1" s="82">
      <c r="A44" s="83" t="n"/>
      <c r="B44" s="131">
        <f>IFERROR(INDEX('Policy Register'!$C:$C,MATCH(TEXT(A5+4,"yyyymmdd")&amp;"-"&amp;4,'Policy Register'!$O:$O,0)),"")</f>
        <v/>
      </c>
      <c r="C44" s="131">
        <f>IFERROR(INDEX('Policy Register'!$D:$D,MATCH(TEXT(A5+4,"yyyymmdd")&amp;"-"&amp;4,'Policy Register'!$O:$O,0)),"")</f>
        <v/>
      </c>
      <c r="D44" s="131">
        <f>IFERROR(INDEX('Policy Register'!$E:$E,MATCH(TEXT(A5+4,"yyyymmdd")&amp;"-"&amp;4,'Policy Register'!$O:$O,0)),"")</f>
        <v/>
      </c>
      <c r="E44" s="132">
        <f>IFERROR(INDEX('Policy Register'!$F:$F,MATCH(TEXT(A5+4,"yyyymmdd")&amp;"-"&amp;4,'Policy Register'!$O:$O,0)),"")</f>
        <v/>
      </c>
      <c r="F44" s="131">
        <f>IFERROR(INDEX('Policy Register'!$G:$G,MATCH(TEXT(A5+4,"yyyymmdd")&amp;"-"&amp;4,'Policy Register'!$O:$O,0)),"")</f>
        <v/>
      </c>
      <c r="G44" s="83" t="n"/>
    </row>
    <row r="45" ht="15" customHeight="1" s="82">
      <c r="A45" s="83" t="n"/>
      <c r="B45" s="83" t="n"/>
      <c r="C45" s="83" t="n"/>
      <c r="D45" s="83" t="n"/>
      <c r="E45" s="83" t="n"/>
      <c r="F45" s="83" t="n"/>
      <c r="G45" s="83" t="n"/>
    </row>
    <row r="46" ht="15" customHeight="1" s="82">
      <c r="A46" s="83" t="n"/>
      <c r="B46" s="128">
        <f>"📅  " &amp; "SATURDAY" &amp; "  ·  " &amp; TEXT(A5+5,"d mmm yyyy")</f>
        <v/>
      </c>
      <c r="G46" s="83" t="n"/>
    </row>
    <row r="47" ht="15" customHeight="1" s="82">
      <c r="A47" s="83" t="n"/>
      <c r="B47" s="129">
        <f>IF(COUNTIFS('Policy Register'!$F$5:$F$304,A5+5)=0,"No renewals scheduled.","")</f>
        <v/>
      </c>
      <c r="G47" s="83" t="n"/>
    </row>
    <row r="48" ht="15" customHeight="1" s="82">
      <c r="A48" s="83" t="n"/>
      <c r="B48" s="130" t="inlineStr">
        <is>
          <t>CLIENT</t>
        </is>
      </c>
      <c r="C48" s="130" t="inlineStr">
        <is>
          <t>CLASS</t>
        </is>
      </c>
      <c r="D48" s="130" t="inlineStr">
        <is>
          <t>DESCRIPTION</t>
        </is>
      </c>
      <c r="E48" s="130" t="inlineStr">
        <is>
          <t>DUE DATE</t>
        </is>
      </c>
      <c r="F48" s="130" t="inlineStr">
        <is>
          <t>STATUS</t>
        </is>
      </c>
      <c r="G48" s="83" t="n"/>
    </row>
    <row r="49" ht="15" customHeight="1" s="82">
      <c r="A49" s="83" t="n"/>
      <c r="B49" s="110">
        <f>IFERROR(INDEX('Policy Register'!$C:$C,MATCH(TEXT(A5+5,"yyyymmdd")&amp;"-"&amp;1,'Policy Register'!$O:$O,0)),"")</f>
        <v/>
      </c>
      <c r="C49" s="110">
        <f>IFERROR(INDEX('Policy Register'!$D:$D,MATCH(TEXT(A5+5,"yyyymmdd")&amp;"-"&amp;1,'Policy Register'!$O:$O,0)),"")</f>
        <v/>
      </c>
      <c r="D49" s="110">
        <f>IFERROR(INDEX('Policy Register'!$E:$E,MATCH(TEXT(A5+5,"yyyymmdd")&amp;"-"&amp;1,'Policy Register'!$O:$O,0)),"")</f>
        <v/>
      </c>
      <c r="E49" s="111">
        <f>IFERROR(INDEX('Policy Register'!$F:$F,MATCH(TEXT(A5+5,"yyyymmdd")&amp;"-"&amp;1,'Policy Register'!$O:$O,0)),"")</f>
        <v/>
      </c>
      <c r="F49" s="110">
        <f>IFERROR(INDEX('Policy Register'!$G:$G,MATCH(TEXT(A5+5,"yyyymmdd")&amp;"-"&amp;1,'Policy Register'!$O:$O,0)),"")</f>
        <v/>
      </c>
      <c r="G49" s="83" t="n"/>
    </row>
    <row r="50" ht="15" customHeight="1" s="82">
      <c r="A50" s="83" t="n"/>
      <c r="B50" s="131">
        <f>IFERROR(INDEX('Policy Register'!$C:$C,MATCH(TEXT(A5+5,"yyyymmdd")&amp;"-"&amp;2,'Policy Register'!$O:$O,0)),"")</f>
        <v/>
      </c>
      <c r="C50" s="131">
        <f>IFERROR(INDEX('Policy Register'!$D:$D,MATCH(TEXT(A5+5,"yyyymmdd")&amp;"-"&amp;2,'Policy Register'!$O:$O,0)),"")</f>
        <v/>
      </c>
      <c r="D50" s="131">
        <f>IFERROR(INDEX('Policy Register'!$E:$E,MATCH(TEXT(A5+5,"yyyymmdd")&amp;"-"&amp;2,'Policy Register'!$O:$O,0)),"")</f>
        <v/>
      </c>
      <c r="E50" s="132">
        <f>IFERROR(INDEX('Policy Register'!$F:$F,MATCH(TEXT(A5+5,"yyyymmdd")&amp;"-"&amp;2,'Policy Register'!$O:$O,0)),"")</f>
        <v/>
      </c>
      <c r="F50" s="131">
        <f>IFERROR(INDEX('Policy Register'!$G:$G,MATCH(TEXT(A5+5,"yyyymmdd")&amp;"-"&amp;2,'Policy Register'!$O:$O,0)),"")</f>
        <v/>
      </c>
      <c r="G50" s="83" t="n"/>
    </row>
    <row r="51" ht="15" customHeight="1" s="82">
      <c r="A51" s="83" t="n"/>
      <c r="B51" s="110">
        <f>IFERROR(INDEX('Policy Register'!$C:$C,MATCH(TEXT(A5+5,"yyyymmdd")&amp;"-"&amp;3,'Policy Register'!$O:$O,0)),"")</f>
        <v/>
      </c>
      <c r="C51" s="110">
        <f>IFERROR(INDEX('Policy Register'!$D:$D,MATCH(TEXT(A5+5,"yyyymmdd")&amp;"-"&amp;3,'Policy Register'!$O:$O,0)),"")</f>
        <v/>
      </c>
      <c r="D51" s="110">
        <f>IFERROR(INDEX('Policy Register'!$E:$E,MATCH(TEXT(A5+5,"yyyymmdd")&amp;"-"&amp;3,'Policy Register'!$O:$O,0)),"")</f>
        <v/>
      </c>
      <c r="E51" s="111">
        <f>IFERROR(INDEX('Policy Register'!$F:$F,MATCH(TEXT(A5+5,"yyyymmdd")&amp;"-"&amp;3,'Policy Register'!$O:$O,0)),"")</f>
        <v/>
      </c>
      <c r="F51" s="110">
        <f>IFERROR(INDEX('Policy Register'!$G:$G,MATCH(TEXT(A5+5,"yyyymmdd")&amp;"-"&amp;3,'Policy Register'!$O:$O,0)),"")</f>
        <v/>
      </c>
      <c r="G51" s="83" t="n"/>
    </row>
    <row r="52" ht="15" customHeight="1" s="82">
      <c r="A52" s="83" t="n"/>
      <c r="B52" s="131">
        <f>IFERROR(INDEX('Policy Register'!$C:$C,MATCH(TEXT(A5+5,"yyyymmdd")&amp;"-"&amp;4,'Policy Register'!$O:$O,0)),"")</f>
        <v/>
      </c>
      <c r="C52" s="131">
        <f>IFERROR(INDEX('Policy Register'!$D:$D,MATCH(TEXT(A5+5,"yyyymmdd")&amp;"-"&amp;4,'Policy Register'!$O:$O,0)),"")</f>
        <v/>
      </c>
      <c r="D52" s="131">
        <f>IFERROR(INDEX('Policy Register'!$E:$E,MATCH(TEXT(A5+5,"yyyymmdd")&amp;"-"&amp;4,'Policy Register'!$O:$O,0)),"")</f>
        <v/>
      </c>
      <c r="E52" s="132">
        <f>IFERROR(INDEX('Policy Register'!$F:$F,MATCH(TEXT(A5+5,"yyyymmdd")&amp;"-"&amp;4,'Policy Register'!$O:$O,0)),"")</f>
        <v/>
      </c>
      <c r="F52" s="131">
        <f>IFERROR(INDEX('Policy Register'!$G:$G,MATCH(TEXT(A5+5,"yyyymmdd")&amp;"-"&amp;4,'Policy Register'!$O:$O,0)),"")</f>
        <v/>
      </c>
      <c r="G52" s="83" t="n"/>
    </row>
    <row r="53" ht="15" customHeight="1" s="82">
      <c r="A53" s="83" t="n"/>
      <c r="B53" s="83" t="n"/>
      <c r="C53" s="83" t="n"/>
      <c r="D53" s="83" t="n"/>
      <c r="E53" s="83" t="n"/>
      <c r="F53" s="83" t="n"/>
      <c r="G53" s="83" t="n"/>
    </row>
    <row r="54" ht="15" customHeight="1" s="82">
      <c r="A54" s="83" t="n"/>
      <c r="B54" s="128">
        <f>"📅  " &amp; "SUNDAY" &amp; "  ·  " &amp; TEXT(A5+6,"d mmm yyyy")</f>
        <v/>
      </c>
      <c r="G54" s="83" t="n"/>
    </row>
    <row r="55" ht="15" customHeight="1" s="82">
      <c r="A55" s="83" t="n"/>
      <c r="B55" s="129">
        <f>IF(COUNTIFS('Policy Register'!$F$5:$F$304,A5+6)=0,"No renewals scheduled.","")</f>
        <v/>
      </c>
      <c r="G55" s="83" t="n"/>
    </row>
    <row r="56" ht="15" customHeight="1" s="82">
      <c r="A56" s="83" t="n"/>
      <c r="B56" s="130" t="inlineStr">
        <is>
          <t>CLIENT</t>
        </is>
      </c>
      <c r="C56" s="130" t="inlineStr">
        <is>
          <t>CLASS</t>
        </is>
      </c>
      <c r="D56" s="130" t="inlineStr">
        <is>
          <t>DESCRIPTION</t>
        </is>
      </c>
      <c r="E56" s="130" t="inlineStr">
        <is>
          <t>DUE DATE</t>
        </is>
      </c>
      <c r="F56" s="130" t="inlineStr">
        <is>
          <t>STATUS</t>
        </is>
      </c>
      <c r="G56" s="83" t="n"/>
    </row>
    <row r="57" ht="15" customHeight="1" s="82">
      <c r="A57" s="83" t="n"/>
      <c r="B57" s="110">
        <f>IFERROR(INDEX('Policy Register'!$C:$C,MATCH(TEXT(A5+6,"yyyymmdd")&amp;"-"&amp;1,'Policy Register'!$O:$O,0)),"")</f>
        <v/>
      </c>
      <c r="C57" s="110">
        <f>IFERROR(INDEX('Policy Register'!$D:$D,MATCH(TEXT(A5+6,"yyyymmdd")&amp;"-"&amp;1,'Policy Register'!$O:$O,0)),"")</f>
        <v/>
      </c>
      <c r="D57" s="110">
        <f>IFERROR(INDEX('Policy Register'!$E:$E,MATCH(TEXT(A5+6,"yyyymmdd")&amp;"-"&amp;1,'Policy Register'!$O:$O,0)),"")</f>
        <v/>
      </c>
      <c r="E57" s="111">
        <f>IFERROR(INDEX('Policy Register'!$F:$F,MATCH(TEXT(A5+6,"yyyymmdd")&amp;"-"&amp;1,'Policy Register'!$O:$O,0)),"")</f>
        <v/>
      </c>
      <c r="F57" s="110">
        <f>IFERROR(INDEX('Policy Register'!$G:$G,MATCH(TEXT(A5+6,"yyyymmdd")&amp;"-"&amp;1,'Policy Register'!$O:$O,0)),"")</f>
        <v/>
      </c>
      <c r="G57" s="83" t="n"/>
    </row>
    <row r="58" ht="15" customHeight="1" s="82">
      <c r="A58" s="83" t="n"/>
      <c r="B58" s="131">
        <f>IFERROR(INDEX('Policy Register'!$C:$C,MATCH(TEXT(A5+6,"yyyymmdd")&amp;"-"&amp;2,'Policy Register'!$O:$O,0)),"")</f>
        <v/>
      </c>
      <c r="C58" s="131">
        <f>IFERROR(INDEX('Policy Register'!$D:$D,MATCH(TEXT(A5+6,"yyyymmdd")&amp;"-"&amp;2,'Policy Register'!$O:$O,0)),"")</f>
        <v/>
      </c>
      <c r="D58" s="131">
        <f>IFERROR(INDEX('Policy Register'!$E:$E,MATCH(TEXT(A5+6,"yyyymmdd")&amp;"-"&amp;2,'Policy Register'!$O:$O,0)),"")</f>
        <v/>
      </c>
      <c r="E58" s="132">
        <f>IFERROR(INDEX('Policy Register'!$F:$F,MATCH(TEXT(A5+6,"yyyymmdd")&amp;"-"&amp;2,'Policy Register'!$O:$O,0)),"")</f>
        <v/>
      </c>
      <c r="F58" s="131">
        <f>IFERROR(INDEX('Policy Register'!$G:$G,MATCH(TEXT(A5+6,"yyyymmdd")&amp;"-"&amp;2,'Policy Register'!$O:$O,0)),"")</f>
        <v/>
      </c>
      <c r="G58" s="83" t="n"/>
    </row>
    <row r="59" ht="15" customHeight="1" s="82">
      <c r="A59" s="83" t="n"/>
      <c r="B59" s="110">
        <f>IFERROR(INDEX('Policy Register'!$C:$C,MATCH(TEXT(A5+6,"yyyymmdd")&amp;"-"&amp;3,'Policy Register'!$O:$O,0)),"")</f>
        <v/>
      </c>
      <c r="C59" s="110">
        <f>IFERROR(INDEX('Policy Register'!$D:$D,MATCH(TEXT(A5+6,"yyyymmdd")&amp;"-"&amp;3,'Policy Register'!$O:$O,0)),"")</f>
        <v/>
      </c>
      <c r="D59" s="110">
        <f>IFERROR(INDEX('Policy Register'!$E:$E,MATCH(TEXT(A5+6,"yyyymmdd")&amp;"-"&amp;3,'Policy Register'!$O:$O,0)),"")</f>
        <v/>
      </c>
      <c r="E59" s="111">
        <f>IFERROR(INDEX('Policy Register'!$F:$F,MATCH(TEXT(A5+6,"yyyymmdd")&amp;"-"&amp;3,'Policy Register'!$O:$O,0)),"")</f>
        <v/>
      </c>
      <c r="F59" s="110">
        <f>IFERROR(INDEX('Policy Register'!$G:$G,MATCH(TEXT(A5+6,"yyyymmdd")&amp;"-"&amp;3,'Policy Register'!$O:$O,0)),"")</f>
        <v/>
      </c>
      <c r="G59" s="83" t="n"/>
    </row>
    <row r="60" ht="15" customHeight="1" s="82">
      <c r="A60" s="83" t="n"/>
      <c r="B60" s="131">
        <f>IFERROR(INDEX('Policy Register'!$C:$C,MATCH(TEXT(A5+6,"yyyymmdd")&amp;"-"&amp;4,'Policy Register'!$O:$O,0)),"")</f>
        <v/>
      </c>
      <c r="C60" s="131">
        <f>IFERROR(INDEX('Policy Register'!$D:$D,MATCH(TEXT(A5+6,"yyyymmdd")&amp;"-"&amp;4,'Policy Register'!$O:$O,0)),"")</f>
        <v/>
      </c>
      <c r="D60" s="131">
        <f>IFERROR(INDEX('Policy Register'!$E:$E,MATCH(TEXT(A5+6,"yyyymmdd")&amp;"-"&amp;4,'Policy Register'!$O:$O,0)),"")</f>
        <v/>
      </c>
      <c r="E60" s="132">
        <f>IFERROR(INDEX('Policy Register'!$F:$F,MATCH(TEXT(A5+6,"yyyymmdd")&amp;"-"&amp;4,'Policy Register'!$O:$O,0)),"")</f>
        <v/>
      </c>
      <c r="F60" s="131">
        <f>IFERROR(INDEX('Policy Register'!$G:$G,MATCH(TEXT(A5+6,"yyyymmdd")&amp;"-"&amp;4,'Policy Register'!$O:$O,0)),"")</f>
        <v/>
      </c>
      <c r="G60" s="83" t="n"/>
    </row>
    <row r="61" ht="15" customHeight="1" s="82">
      <c r="A61" s="83" t="n"/>
      <c r="B61" s="83" t="n"/>
      <c r="C61" s="83" t="n"/>
      <c r="D61" s="83" t="n"/>
      <c r="E61" s="83" t="n"/>
      <c r="F61" s="83" t="n"/>
      <c r="G61" s="83" t="n"/>
    </row>
    <row r="62" ht="15" customHeight="1" s="82">
      <c r="A62" s="83" t="n"/>
      <c r="B62" s="83" t="n"/>
      <c r="C62" s="83" t="n"/>
      <c r="D62" s="83" t="n"/>
      <c r="E62" s="83" t="n"/>
      <c r="F62" s="83" t="n"/>
      <c r="G62" s="83" t="n"/>
    </row>
    <row r="63" ht="15" customHeight="1" s="82">
      <c r="A63" s="83" t="n"/>
      <c r="B63" s="83" t="n"/>
      <c r="C63" s="83" t="n"/>
      <c r="D63" s="83" t="n"/>
      <c r="E63" s="83" t="n"/>
      <c r="F63" s="83" t="n"/>
      <c r="G63" s="83" t="n"/>
    </row>
    <row r="64" ht="15" customHeight="1" s="82">
      <c r="A64" s="83" t="n"/>
      <c r="B64" s="83" t="n"/>
      <c r="C64" s="83" t="n"/>
      <c r="D64" s="83" t="n"/>
      <c r="E64" s="83" t="n"/>
      <c r="F64" s="83" t="n"/>
      <c r="G64" s="83" t="n"/>
    </row>
    <row r="65" ht="15" customHeight="1" s="82">
      <c r="A65" s="83" t="n"/>
      <c r="B65" s="83" t="n"/>
      <c r="C65" s="83" t="n"/>
      <c r="D65" s="83" t="n"/>
      <c r="E65" s="83" t="n"/>
      <c r="F65" s="83" t="n"/>
      <c r="G65" s="83" t="n"/>
    </row>
    <row r="66" ht="15" customHeight="1" s="82">
      <c r="A66" s="83" t="n"/>
      <c r="B66" s="83" t="n"/>
      <c r="C66" s="83" t="n"/>
      <c r="D66" s="83" t="n"/>
      <c r="E66" s="83" t="n"/>
      <c r="F66" s="83" t="n"/>
      <c r="G66" s="83" t="n"/>
    </row>
    <row r="67" ht="15" customHeight="1" s="82">
      <c r="A67" s="83" t="n"/>
      <c r="B67" s="83" t="n"/>
      <c r="C67" s="83" t="n"/>
      <c r="D67" s="83" t="n"/>
      <c r="E67" s="83" t="n"/>
      <c r="F67" s="83" t="n"/>
      <c r="G67" s="83" t="n"/>
    </row>
    <row r="68" ht="15" customHeight="1" s="82">
      <c r="A68" s="83" t="n"/>
      <c r="B68" s="83" t="n"/>
      <c r="C68" s="83" t="n"/>
      <c r="D68" s="83" t="n"/>
      <c r="E68" s="83" t="n"/>
      <c r="F68" s="83" t="n"/>
      <c r="G68" s="83" t="n"/>
    </row>
    <row r="69" ht="15" customHeight="1" s="82">
      <c r="A69" s="83" t="n"/>
      <c r="B69" s="83" t="n"/>
      <c r="C69" s="83" t="n"/>
      <c r="D69" s="83" t="n"/>
      <c r="E69" s="83" t="n"/>
      <c r="F69" s="83" t="n"/>
      <c r="G69" s="83" t="n"/>
    </row>
    <row r="70" ht="15" customHeight="1" s="82">
      <c r="A70" s="83" t="n"/>
      <c r="B70" s="83" t="n"/>
      <c r="C70" s="83" t="n"/>
      <c r="D70" s="83" t="n"/>
      <c r="E70" s="83" t="n"/>
      <c r="F70" s="83" t="n"/>
      <c r="G70" s="83" t="n"/>
    </row>
    <row r="71" ht="15" customHeight="1" s="82">
      <c r="A71" s="83" t="n"/>
      <c r="B71" s="83" t="n"/>
      <c r="C71" s="83" t="n"/>
      <c r="D71" s="83" t="n"/>
      <c r="E71" s="83" t="n"/>
      <c r="F71" s="83" t="n"/>
      <c r="G71" s="83" t="n"/>
    </row>
    <row r="72" ht="15" customHeight="1" s="82">
      <c r="A72" s="83" t="n"/>
      <c r="B72" s="83" t="n"/>
      <c r="C72" s="83" t="n"/>
      <c r="D72" s="83" t="n"/>
      <c r="E72" s="83" t="n"/>
      <c r="F72" s="83" t="n"/>
      <c r="G72" s="83" t="n"/>
    </row>
    <row r="73" ht="15" customHeight="1" s="82">
      <c r="A73" s="83" t="n"/>
      <c r="B73" s="83" t="n"/>
      <c r="C73" s="83" t="n"/>
      <c r="D73" s="83" t="n"/>
      <c r="E73" s="83" t="n"/>
      <c r="F73" s="83" t="n"/>
      <c r="G73" s="83" t="n"/>
    </row>
    <row r="74" ht="15" customHeight="1" s="82">
      <c r="A74" s="83" t="n"/>
      <c r="B74" s="83" t="n"/>
      <c r="C74" s="83" t="n"/>
      <c r="D74" s="83" t="n"/>
      <c r="E74" s="83" t="n"/>
      <c r="F74" s="83" t="n"/>
      <c r="G74" s="83" t="n"/>
    </row>
    <row r="75" ht="15" customHeight="1" s="82">
      <c r="A75" s="83" t="n"/>
      <c r="B75" s="83" t="n"/>
      <c r="C75" s="83" t="n"/>
      <c r="D75" s="83" t="n"/>
      <c r="E75" s="83" t="n"/>
      <c r="F75" s="83" t="n"/>
      <c r="G75" s="83" t="n"/>
    </row>
    <row r="76" ht="15" customHeight="1" s="82">
      <c r="A76" s="83" t="n"/>
      <c r="B76" s="83" t="n"/>
      <c r="C76" s="83" t="n"/>
      <c r="D76" s="83" t="n"/>
      <c r="E76" s="83" t="n"/>
      <c r="F76" s="83" t="n"/>
      <c r="G76" s="83" t="n"/>
    </row>
    <row r="77" ht="15" customHeight="1" s="82">
      <c r="A77" s="83" t="n"/>
      <c r="B77" s="83" t="n"/>
      <c r="C77" s="83" t="n"/>
      <c r="D77" s="83" t="n"/>
      <c r="E77" s="83" t="n"/>
      <c r="F77" s="83" t="n"/>
      <c r="G77" s="83" t="n"/>
    </row>
    <row r="78" ht="15" customHeight="1" s="82">
      <c r="A78" s="83" t="n"/>
      <c r="B78" s="83" t="n"/>
      <c r="C78" s="83" t="n"/>
      <c r="D78" s="83" t="n"/>
      <c r="E78" s="83" t="n"/>
      <c r="F78" s="83" t="n"/>
      <c r="G78" s="83" t="n"/>
    </row>
    <row r="79" ht="15" customHeight="1" s="82">
      <c r="A79" s="83" t="n"/>
      <c r="B79" s="83" t="n"/>
      <c r="C79" s="83" t="n"/>
      <c r="D79" s="83" t="n"/>
      <c r="E79" s="83" t="n"/>
      <c r="F79" s="83" t="n"/>
      <c r="G79" s="83" t="n"/>
    </row>
    <row r="80" ht="15" customHeight="1" s="82">
      <c r="A80" s="83" t="n"/>
      <c r="B80" s="83" t="n"/>
      <c r="C80" s="83" t="n"/>
      <c r="D80" s="83" t="n"/>
      <c r="E80" s="83" t="n"/>
      <c r="F80" s="83" t="n"/>
      <c r="G80" s="83" t="n"/>
    </row>
    <row r="81" ht="15" customHeight="1" s="82">
      <c r="A81" s="83" t="n"/>
      <c r="B81" s="83" t="n"/>
      <c r="C81" s="83" t="n"/>
      <c r="D81" s="83" t="n"/>
      <c r="E81" s="83" t="n"/>
      <c r="F81" s="83" t="n"/>
      <c r="G81" s="83" t="n"/>
    </row>
    <row r="82" ht="15" customHeight="1" s="82">
      <c r="A82" s="83" t="n"/>
      <c r="B82" s="83" t="n"/>
      <c r="C82" s="83" t="n"/>
      <c r="D82" s="83" t="n"/>
      <c r="E82" s="83" t="n"/>
      <c r="F82" s="83" t="n"/>
      <c r="G82" s="83" t="n"/>
    </row>
    <row r="83" ht="15" customHeight="1" s="82">
      <c r="A83" s="83" t="n"/>
      <c r="B83" s="83" t="n"/>
      <c r="C83" s="83" t="n"/>
      <c r="D83" s="83" t="n"/>
      <c r="E83" s="83" t="n"/>
      <c r="F83" s="83" t="n"/>
      <c r="G83" s="83" t="n"/>
    </row>
    <row r="84" ht="15" customHeight="1" s="82">
      <c r="A84" s="83" t="n"/>
      <c r="B84" s="83" t="n"/>
      <c r="C84" s="83" t="n"/>
      <c r="D84" s="83" t="n"/>
      <c r="E84" s="83" t="n"/>
      <c r="F84" s="83" t="n"/>
      <c r="G84" s="83" t="n"/>
    </row>
    <row r="85" ht="15" customHeight="1" s="82">
      <c r="A85" s="83" t="n"/>
      <c r="B85" s="83" t="n"/>
      <c r="C85" s="83" t="n"/>
      <c r="D85" s="83" t="n"/>
      <c r="E85" s="83" t="n"/>
      <c r="F85" s="83" t="n"/>
      <c r="G85" s="83" t="n"/>
    </row>
    <row r="86" ht="15" customHeight="1" s="82">
      <c r="A86" s="83" t="n"/>
      <c r="B86" s="83" t="n"/>
      <c r="C86" s="83" t="n"/>
      <c r="D86" s="83" t="n"/>
      <c r="E86" s="83" t="n"/>
      <c r="F86" s="83" t="n"/>
      <c r="G86" s="83" t="n"/>
    </row>
    <row r="87" ht="15" customHeight="1" s="82">
      <c r="A87" s="83" t="n"/>
      <c r="B87" s="83" t="n"/>
      <c r="C87" s="83" t="n"/>
      <c r="D87" s="83" t="n"/>
      <c r="E87" s="83" t="n"/>
      <c r="F87" s="83" t="n"/>
      <c r="G87" s="83" t="n"/>
    </row>
    <row r="88" ht="15" customHeight="1" s="82">
      <c r="A88" s="83" t="n"/>
      <c r="B88" s="83" t="n"/>
      <c r="C88" s="83" t="n"/>
      <c r="D88" s="83" t="n"/>
      <c r="E88" s="83" t="n"/>
      <c r="F88" s="83" t="n"/>
      <c r="G88" s="83" t="n"/>
    </row>
    <row r="89" ht="15" customHeight="1" s="82">
      <c r="A89" s="83" t="n"/>
      <c r="B89" s="83" t="n"/>
      <c r="C89" s="83" t="n"/>
      <c r="D89" s="83" t="n"/>
      <c r="E89" s="83" t="n"/>
      <c r="F89" s="83" t="n"/>
      <c r="G89" s="83" t="n"/>
    </row>
    <row r="90" ht="15" customHeight="1" s="82">
      <c r="A90" s="83" t="n"/>
      <c r="B90" s="83" t="n"/>
      <c r="C90" s="83" t="n"/>
      <c r="D90" s="83" t="n"/>
      <c r="E90" s="83" t="n"/>
      <c r="F90" s="83" t="n"/>
      <c r="G90" s="83" t="n"/>
    </row>
  </sheetData>
  <mergeCells count="16">
    <mergeCell ref="B30:F30"/>
    <mergeCell ref="A2:F2"/>
    <mergeCell ref="B7:F7"/>
    <mergeCell ref="B39:F39"/>
    <mergeCell ref="B6:F6"/>
    <mergeCell ref="B38:F38"/>
    <mergeCell ref="B47:F47"/>
    <mergeCell ref="B54:F54"/>
    <mergeCell ref="B15:F15"/>
    <mergeCell ref="B55:F55"/>
    <mergeCell ref="B31:F31"/>
    <mergeCell ref="B23:F23"/>
    <mergeCell ref="B46:F46"/>
    <mergeCell ref="B22:F22"/>
    <mergeCell ref="B14:F14"/>
    <mergeCell ref="A3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6F1D1B"/>
    <outlinePr summaryBelow="1" summaryRight="1"/>
    <pageSetUpPr fitToPage="0"/>
  </sheetPr>
  <dimension ref="A1:P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81" min="1" max="1"/>
    <col width="12" customWidth="1" style="81" min="2" max="2"/>
    <col width="24" customWidth="1" style="81" min="3" max="3"/>
    <col width="16" customWidth="1" style="81" min="4" max="4"/>
    <col width="28" customWidth="1" style="81" min="5" max="5"/>
    <col width="13" customWidth="1" style="81" min="6" max="6"/>
    <col width="14" customWidth="1" style="81" min="7" max="7"/>
    <col width="13" customWidth="1" style="81" min="8" max="8"/>
    <col width="26" customWidth="1" style="81" min="9" max="9"/>
    <col width="22" customWidth="1" style="81" min="10" max="10"/>
    <col width="2" customWidth="1" style="81" min="11" max="11"/>
    <col hidden="1" width="9" customWidth="1" style="81" min="12" max="14"/>
    <col hidden="1" width="13" customWidth="1" style="81" min="15" max="15"/>
    <col hidden="1" width="15" customWidth="1" style="81" min="16" max="16"/>
  </cols>
  <sheetData>
    <row r="1" ht="6" customHeight="1" s="82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</row>
    <row r="2" ht="33.75" customHeight="1" s="82">
      <c r="A2" s="133" t="inlineStr">
        <is>
          <t xml:space="preserve">  📋 POLICY REGISTER  —  Single source of truth for every policy</t>
        </is>
      </c>
      <c r="K2" s="83" t="n"/>
      <c r="L2" s="83" t="n"/>
      <c r="M2" s="83" t="n"/>
      <c r="N2" s="83" t="n"/>
      <c r="O2" s="83" t="n"/>
    </row>
    <row r="3" ht="19.5" customHeight="1" s="82">
      <c r="A3" s="134" t="inlineStr">
        <is>
          <t xml:space="preserve">  Enter policies from row 5 down  ·  Insurance Class &amp; Status use dropdowns  ·  Days Overdue and Calendar sync run automatically</t>
        </is>
      </c>
      <c r="K3" s="83" t="n"/>
      <c r="L3" s="83" t="n"/>
      <c r="M3" s="83" t="n"/>
      <c r="N3" s="83" t="n"/>
      <c r="O3" s="83" t="n"/>
    </row>
    <row r="4" ht="21.75" customHeight="1" s="82">
      <c r="A4" s="83" t="n"/>
      <c r="B4" s="135" t="inlineStr">
        <is>
          <t>POLICY ID</t>
        </is>
      </c>
      <c r="C4" s="135" t="inlineStr">
        <is>
          <t>CLIENT NAME</t>
        </is>
      </c>
      <c r="D4" s="135" t="inlineStr">
        <is>
          <t>INSURANCE CLASS</t>
        </is>
      </c>
      <c r="E4" s="135" t="inlineStr">
        <is>
          <t>DESCRIPTION</t>
        </is>
      </c>
      <c r="F4" s="135" t="inlineStr">
        <is>
          <t>DUE DATE</t>
        </is>
      </c>
      <c r="G4" s="135" t="inlineStr">
        <is>
          <t>STATUS</t>
        </is>
      </c>
      <c r="H4" s="135" t="inlineStr">
        <is>
          <t>DAYS OVERDUE</t>
        </is>
      </c>
      <c r="I4" s="135" t="inlineStr">
        <is>
          <t>NOTES</t>
        </is>
      </c>
      <c r="J4" s="135" t="inlineStr">
        <is>
          <t>CLIENT EMAIL</t>
        </is>
      </c>
      <c r="K4" s="83" t="n"/>
      <c r="L4" s="136" t="inlineStr">
        <is>
          <t>UpRank</t>
        </is>
      </c>
      <c r="M4" s="136" t="inlineStr">
        <is>
          <t>OverdueRank</t>
        </is>
      </c>
      <c r="N4" s="136" t="inlineStr">
        <is>
          <t>DayRank</t>
        </is>
      </c>
      <c r="O4" s="136" t="inlineStr">
        <is>
          <t>DayKey</t>
        </is>
      </c>
      <c r="P4" s="136" t="inlineStr">
        <is>
          <t>LAST MILESTONE</t>
        </is>
      </c>
    </row>
    <row r="5" ht="15" customHeight="1" s="82">
      <c r="A5" s="83" t="n"/>
      <c r="B5" s="137">
        <f>IF(C5="","","POL-"&amp;TEXT(ROW()-4,"0000"))</f>
        <v/>
      </c>
      <c r="C5" s="137" t="inlineStr">
        <is>
          <t>Achieng Njeri</t>
        </is>
      </c>
      <c r="D5" s="137" t="inlineStr">
        <is>
          <t>Medical</t>
        </is>
      </c>
      <c r="E5" s="137" t="inlineStr">
        <is>
          <t>Family medical cover - Bronze Plan</t>
        </is>
      </c>
      <c r="F5" s="138" t="n">
        <v>46391</v>
      </c>
      <c r="G5" s="137" t="inlineStr">
        <is>
          <t>Renewed</t>
        </is>
      </c>
      <c r="H5" s="139">
        <f>IF(OR(G5="Renewed",G5=""),0,IF(TODAY()&gt;F5,TODAY()-F5,0))</f>
        <v/>
      </c>
      <c r="I5" s="137" t="inlineStr">
        <is>
          <t>Renewed after reminder call</t>
        </is>
      </c>
      <c r="J5" s="137" t="inlineStr">
        <is>
          <t>achieng.n0@example.com</t>
        </is>
      </c>
      <c r="K5" s="83" t="n"/>
      <c r="L5" s="140">
        <f>IF(AND(G5&lt;&gt;"Renewed",F5&lt;&gt;"",F5&gt;=TODAY()),SUMPRODUCT(($G$5:$G$304&lt;&gt;"Renewed")*($F$5:$F$304&lt;&gt;"")*($F$5:$F$304&gt;=TODAY())*($F$5:$F$304&lt;F5))+SUMPRODUCT(($G$5:$G$304&lt;&gt;"Renewed")*($F$5:$F$304=F5)*(ROW($F$5:$F$304)&lt;ROW(F5)))+1,"")</f>
        <v/>
      </c>
      <c r="M5" s="140">
        <f>IF(H5&gt;0,SUMPRODUCT(($H$5:$H$304&gt;H5))+SUMPRODUCT(($H$5:$H$304=H5)*(ROW($H$5:$H$304)&lt;ROW(H5)))+1,"")</f>
        <v/>
      </c>
      <c r="N5" s="140">
        <f>IF(F5&lt;&gt;"",SUMPRODUCT(($F$5:$F$304=F5)*(ROW($F$5:$F$304)&lt;ROW(F5)))+1,"")</f>
        <v/>
      </c>
      <c r="O5" s="140">
        <f>IF(F5&lt;&gt;"",TEXT(F5,"yyyymmdd")&amp;"-"&amp;N5,"")</f>
        <v/>
      </c>
    </row>
    <row r="6" ht="15" customHeight="1" s="82">
      <c r="A6" s="83" t="n"/>
      <c r="B6" s="141">
        <f>IF(C6="","","POL-"&amp;TEXT(ROW()-4,"0000"))</f>
        <v/>
      </c>
      <c r="C6" s="141" t="inlineStr">
        <is>
          <t>Grace Chepkoech</t>
        </is>
      </c>
      <c r="D6" s="141" t="inlineStr">
        <is>
          <t>WIBA</t>
        </is>
      </c>
      <c r="E6" s="141" t="inlineStr">
        <is>
          <t>WIBA - 60 employees</t>
        </is>
      </c>
      <c r="F6" s="142" t="n">
        <v>46281</v>
      </c>
      <c r="G6" s="141" t="inlineStr">
        <is>
          <t>Renewed</t>
        </is>
      </c>
      <c r="H6" s="143">
        <f>IF(OR(G6="Renewed",G6=""),0,IF(TODAY()&gt;F6,TODAY()-F6,0))</f>
        <v/>
      </c>
      <c r="I6" s="141" t="inlineStr">
        <is>
          <t>Renewed via M-Pesa</t>
        </is>
      </c>
      <c r="J6" s="141" t="inlineStr">
        <is>
          <t>grace.c1@example.com</t>
        </is>
      </c>
      <c r="K6" s="83" t="n"/>
      <c r="L6" s="140">
        <f>IF(AND(G6&lt;&gt;"Renewed",F6&lt;&gt;"",F6&gt;=TODAY()),SUMPRODUCT(($G$5:$G$304&lt;&gt;"Renewed")*($F$5:$F$304&lt;&gt;"")*($F$5:$F$304&gt;=TODAY())*($F$5:$F$304&lt;F6))+SUMPRODUCT(($G$5:$G$304&lt;&gt;"Renewed")*($F$5:$F$304=F6)*(ROW($F$5:$F$304)&lt;ROW(F6)))+1,"")</f>
        <v/>
      </c>
      <c r="M6" s="140">
        <f>IF(H6&gt;0,SUMPRODUCT(($H$5:$H$304&gt;H6))+SUMPRODUCT(($H$5:$H$304=H6)*(ROW($H$5:$H$304)&lt;ROW(H6)))+1,"")</f>
        <v/>
      </c>
      <c r="N6" s="140">
        <f>IF(F6&lt;&gt;"",SUMPRODUCT(($F$5:$F$304=F6)*(ROW($F$5:$F$304)&lt;ROW(F6)))+1,"")</f>
        <v/>
      </c>
      <c r="O6" s="140">
        <f>IF(F6&lt;&gt;"",TEXT(F6,"yyyymmdd")&amp;"-"&amp;N6,"")</f>
        <v/>
      </c>
    </row>
    <row r="7" ht="15" customHeight="1" s="82">
      <c r="A7" s="83" t="n"/>
      <c r="B7" s="137">
        <f>IF(C7="","","POL-"&amp;TEXT(ROW()-4,"0000"))</f>
        <v/>
      </c>
      <c r="C7" s="137" t="inlineStr">
        <is>
          <t>Naomi Nyaga</t>
        </is>
      </c>
      <c r="D7" s="137" t="inlineStr">
        <is>
          <t>Public Liability</t>
        </is>
      </c>
      <c r="E7" s="137" t="inlineStr">
        <is>
          <t>Public liability - restaurant</t>
        </is>
      </c>
      <c r="F7" s="138" t="n">
        <v>46256</v>
      </c>
      <c r="G7" s="137" t="inlineStr">
        <is>
          <t>Renewed</t>
        </is>
      </c>
      <c r="H7" s="139">
        <f>IF(OR(G7="Renewed",G7=""),0,IF(TODAY()&gt;F7,TODAY()-F7,0))</f>
        <v/>
      </c>
      <c r="I7" s="137" t="inlineStr">
        <is>
          <t>Renewed via M-Pesa</t>
        </is>
      </c>
      <c r="J7" s="137" t="inlineStr">
        <is>
          <t>naomi.n2@example.com</t>
        </is>
      </c>
      <c r="K7" s="83" t="n"/>
      <c r="L7" s="140">
        <f>IF(AND(G7&lt;&gt;"Renewed",F7&lt;&gt;"",F7&gt;=TODAY()),SUMPRODUCT(($G$5:$G$304&lt;&gt;"Renewed")*($F$5:$F$304&lt;&gt;"")*($F$5:$F$304&gt;=TODAY())*($F$5:$F$304&lt;F7))+SUMPRODUCT(($G$5:$G$304&lt;&gt;"Renewed")*($F$5:$F$304=F7)*(ROW($F$5:$F$304)&lt;ROW(F7)))+1,"")</f>
        <v/>
      </c>
      <c r="M7" s="140">
        <f>IF(H7&gt;0,SUMPRODUCT(($H$5:$H$304&gt;H7))+SUMPRODUCT(($H$5:$H$304=H7)*(ROW($H$5:$H$304)&lt;ROW(H7)))+1,"")</f>
        <v/>
      </c>
      <c r="N7" s="140">
        <f>IF(F7&lt;&gt;"",SUMPRODUCT(($F$5:$F$304=F7)*(ROW($F$5:$F$304)&lt;ROW(F7)))+1,"")</f>
        <v/>
      </c>
      <c r="O7" s="140">
        <f>IF(F7&lt;&gt;"",TEXT(F7,"yyyymmdd")&amp;"-"&amp;N7,"")</f>
        <v/>
      </c>
    </row>
    <row r="8" ht="15" customHeight="1" s="82">
      <c r="A8" s="83" t="n"/>
      <c r="B8" s="144">
        <f>IF(C8="","","POL-"&amp;TEXT(ROW()-4,"0000"))</f>
        <v/>
      </c>
      <c r="C8" s="144" t="inlineStr">
        <is>
          <t>Mercy Ndung'u</t>
        </is>
      </c>
      <c r="D8" s="144" t="inlineStr">
        <is>
          <t>Motor</t>
        </is>
      </c>
      <c r="E8" s="144" t="inlineStr">
        <is>
          <t>Comprehensive cover - Toyota Axio KDC 950E</t>
        </is>
      </c>
      <c r="F8" s="145" t="n">
        <v>46348</v>
      </c>
      <c r="G8" s="144" t="inlineStr">
        <is>
          <t>Not Renewed</t>
        </is>
      </c>
      <c r="H8" s="143">
        <f>IF(OR(G8="Renewed",G8=""),0,IF(TODAY()&gt;F8,TODAY()-F8,0))</f>
        <v/>
      </c>
      <c r="I8" s="144" t="n"/>
      <c r="J8" s="144" t="inlineStr">
        <is>
          <t>mercy.n3@example.com</t>
        </is>
      </c>
      <c r="K8" s="83" t="n"/>
      <c r="L8" s="140">
        <f>IF(AND(G8&lt;&gt;"Renewed",F8&lt;&gt;"",F8&gt;=TODAY()),SUMPRODUCT(($G$5:$G$304&lt;&gt;"Renewed")*($F$5:$F$304&lt;&gt;"")*($F$5:$F$304&gt;=TODAY())*($F$5:$F$304&lt;F8))+SUMPRODUCT(($G$5:$G$304&lt;&gt;"Renewed")*($F$5:$F$304=F8)*(ROW($F$5:$F$304)&lt;ROW(F8)))+1,"")</f>
        <v/>
      </c>
      <c r="M8" s="140">
        <f>IF(H8&gt;0,SUMPRODUCT(($H$5:$H$304&gt;H8))+SUMPRODUCT(($H$5:$H$304=H8)*(ROW($H$5:$H$304)&lt;ROW(H8)))+1,"")</f>
        <v/>
      </c>
      <c r="N8" s="140">
        <f>IF(F8&lt;&gt;"",SUMPRODUCT(($F$5:$F$304=F8)*(ROW($F$5:$F$304)&lt;ROW(F8)))+1,"")</f>
        <v/>
      </c>
      <c r="O8" s="140">
        <f>IF(F8&lt;&gt;"",TEXT(F8,"yyyymmdd")&amp;"-"&amp;N8,"")</f>
        <v/>
      </c>
    </row>
    <row r="9" ht="15" customHeight="1" s="82">
      <c r="A9" s="83" t="n"/>
      <c r="B9" s="146">
        <f>IF(C9="","","POL-"&amp;TEXT(ROW()-4,"0000"))</f>
        <v/>
      </c>
      <c r="C9" s="146" t="inlineStr">
        <is>
          <t>Rift Valley Dairies</t>
        </is>
      </c>
      <c r="D9" s="146" t="inlineStr">
        <is>
          <t>Fire</t>
        </is>
      </c>
      <c r="E9" s="146" t="inlineStr">
        <is>
          <t>Fire &amp; burglary - warehouse</t>
        </is>
      </c>
      <c r="F9" s="147" t="n">
        <v>46268</v>
      </c>
      <c r="G9" s="146" t="inlineStr">
        <is>
          <t>Renewed</t>
        </is>
      </c>
      <c r="H9" s="139">
        <f>IF(OR(G9="Renewed",G9=""),0,IF(TODAY()&gt;F9,TODAY()-F9,0))</f>
        <v/>
      </c>
      <c r="I9" s="146" t="inlineStr">
        <is>
          <t>Renewed via M-Pesa</t>
        </is>
      </c>
      <c r="J9" s="146" t="inlineStr">
        <is>
          <t>rift.d4@example.com</t>
        </is>
      </c>
      <c r="K9" s="83" t="n"/>
      <c r="L9" s="140">
        <f>IF(AND(G9&lt;&gt;"Renewed",F9&lt;&gt;"",F9&gt;=TODAY()),SUMPRODUCT(($G$5:$G$304&lt;&gt;"Renewed")*($F$5:$F$304&lt;&gt;"")*($F$5:$F$304&gt;=TODAY())*($F$5:$F$304&lt;F9))+SUMPRODUCT(($G$5:$G$304&lt;&gt;"Renewed")*($F$5:$F$304=F9)*(ROW($F$5:$F$304)&lt;ROW(F9)))+1,"")</f>
        <v/>
      </c>
      <c r="M9" s="140">
        <f>IF(H9&gt;0,SUMPRODUCT(($H$5:$H$304&gt;H9))+SUMPRODUCT(($H$5:$H$304=H9)*(ROW($H$5:$H$304)&lt;ROW(H9)))+1,"")</f>
        <v/>
      </c>
      <c r="N9" s="140">
        <f>IF(F9&lt;&gt;"",SUMPRODUCT(($F$5:$F$304=F9)*(ROW($F$5:$F$304)&lt;ROW(F9)))+1,"")</f>
        <v/>
      </c>
      <c r="O9" s="140">
        <f>IF(F9&lt;&gt;"",TEXT(F9,"yyyymmdd")&amp;"-"&amp;N9,"")</f>
        <v/>
      </c>
    </row>
    <row r="10" ht="15" customHeight="1" s="82">
      <c r="A10" s="83" t="n"/>
      <c r="B10" s="144">
        <f>IF(C10="","","POL-"&amp;TEXT(ROW()-4,"0000"))</f>
        <v/>
      </c>
      <c r="C10" s="144" t="inlineStr">
        <is>
          <t>Hassan Nyaga</t>
        </is>
      </c>
      <c r="D10" s="144" t="inlineStr">
        <is>
          <t>Medical</t>
        </is>
      </c>
      <c r="E10" s="144" t="inlineStr">
        <is>
          <t>Individual medical cover - Gold Plan</t>
        </is>
      </c>
      <c r="F10" s="145" t="n">
        <v>46261</v>
      </c>
      <c r="G10" s="144" t="inlineStr">
        <is>
          <t>Renewed</t>
        </is>
      </c>
      <c r="H10" s="143">
        <f>IF(OR(G10="Renewed",G10=""),0,IF(TODAY()&gt;F10,TODAY()-F10,0))</f>
        <v/>
      </c>
      <c r="I10" s="144" t="inlineStr">
        <is>
          <t>Client renewed early</t>
        </is>
      </c>
      <c r="J10" s="144" t="inlineStr">
        <is>
          <t>hassan.n5@example.com</t>
        </is>
      </c>
      <c r="K10" s="83" t="n"/>
      <c r="L10" s="140">
        <f>IF(AND(G10&lt;&gt;"Renewed",F10&lt;&gt;"",F10&gt;=TODAY()),SUMPRODUCT(($G$5:$G$304&lt;&gt;"Renewed")*($F$5:$F$304&lt;&gt;"")*($F$5:$F$304&gt;=TODAY())*($F$5:$F$304&lt;F10))+SUMPRODUCT(($G$5:$G$304&lt;&gt;"Renewed")*($F$5:$F$304=F10)*(ROW($F$5:$F$304)&lt;ROW(F10)))+1,"")</f>
        <v/>
      </c>
      <c r="M10" s="140">
        <f>IF(H10&gt;0,SUMPRODUCT(($H$5:$H$304&gt;H10))+SUMPRODUCT(($H$5:$H$304=H10)*(ROW($H$5:$H$304)&lt;ROW(H10)))+1,"")</f>
        <v/>
      </c>
      <c r="N10" s="140">
        <f>IF(F10&lt;&gt;"",SUMPRODUCT(($F$5:$F$304=F10)*(ROW($F$5:$F$304)&lt;ROW(F10)))+1,"")</f>
        <v/>
      </c>
      <c r="O10" s="140">
        <f>IF(F10&lt;&gt;"",TEXT(F10,"yyyymmdd")&amp;"-"&amp;N10,"")</f>
        <v/>
      </c>
    </row>
    <row r="11" ht="15" customHeight="1" s="82">
      <c r="A11" s="83" t="n"/>
      <c r="B11" s="146">
        <f>IF(C11="","","POL-"&amp;TEXT(ROW()-4,"0000"))</f>
        <v/>
      </c>
      <c r="C11" s="146" t="inlineStr">
        <is>
          <t>Abigail Njeri</t>
        </is>
      </c>
      <c r="D11" s="146" t="inlineStr">
        <is>
          <t>WIBA</t>
        </is>
      </c>
      <c r="E11" s="146" t="inlineStr">
        <is>
          <t>WIBA - 15 employees</t>
        </is>
      </c>
      <c r="F11" s="147" t="n">
        <v>46362</v>
      </c>
      <c r="G11" s="146" t="inlineStr">
        <is>
          <t>Not Renewed</t>
        </is>
      </c>
      <c r="H11" s="139">
        <f>IF(OR(G11="Renewed",G11=""),0,IF(TODAY()&gt;F11,TODAY()-F11,0))</f>
        <v/>
      </c>
      <c r="I11" s="146" t="n"/>
      <c r="J11" s="146" t="inlineStr">
        <is>
          <t>abigail.n6@example.com</t>
        </is>
      </c>
      <c r="K11" s="83" t="n"/>
      <c r="L11" s="140">
        <f>IF(AND(G11&lt;&gt;"Renewed",F11&lt;&gt;"",F11&gt;=TODAY()),SUMPRODUCT(($G$5:$G$304&lt;&gt;"Renewed")*($F$5:$F$304&lt;&gt;"")*($F$5:$F$304&gt;=TODAY())*($F$5:$F$304&lt;F11))+SUMPRODUCT(($G$5:$G$304&lt;&gt;"Renewed")*($F$5:$F$304=F11)*(ROW($F$5:$F$304)&lt;ROW(F11)))+1,"")</f>
        <v/>
      </c>
      <c r="M11" s="140">
        <f>IF(H11&gt;0,SUMPRODUCT(($H$5:$H$304&gt;H11))+SUMPRODUCT(($H$5:$H$304=H11)*(ROW($H$5:$H$304)&lt;ROW(H11)))+1,"")</f>
        <v/>
      </c>
      <c r="N11" s="140">
        <f>IF(F11&lt;&gt;"",SUMPRODUCT(($F$5:$F$304=F11)*(ROW($F$5:$F$304)&lt;ROW(F11)))+1,"")</f>
        <v/>
      </c>
      <c r="O11" s="140">
        <f>IF(F11&lt;&gt;"",TEXT(F11,"yyyymmdd")&amp;"-"&amp;N11,"")</f>
        <v/>
      </c>
    </row>
    <row r="12" ht="15" customHeight="1" s="82">
      <c r="A12" s="83" t="n"/>
      <c r="B12" s="144">
        <f>IF(C12="","","POL-"&amp;TEXT(ROW()-4,"0000"))</f>
        <v/>
      </c>
      <c r="C12" s="144" t="inlineStr">
        <is>
          <t>Dennis Akinyi</t>
        </is>
      </c>
      <c r="D12" s="144" t="inlineStr">
        <is>
          <t>Motor</t>
        </is>
      </c>
      <c r="E12" s="144" t="inlineStr">
        <is>
          <t>Comprehensive cover - Subaru Forester KDB 803G</t>
        </is>
      </c>
      <c r="F12" s="145" t="n">
        <v>46307</v>
      </c>
      <c r="G12" s="144" t="inlineStr">
        <is>
          <t>Not Renewed</t>
        </is>
      </c>
      <c r="H12" s="143">
        <f>IF(OR(G12="Renewed",G12=""),0,IF(TODAY()&gt;F12,TODAY()-F12,0))</f>
        <v/>
      </c>
      <c r="I12" s="144" t="n"/>
      <c r="J12" s="144" t="inlineStr">
        <is>
          <t>dennis.a7@example.com</t>
        </is>
      </c>
      <c r="K12" s="83" t="n"/>
      <c r="L12" s="140">
        <f>IF(AND(G12&lt;&gt;"Renewed",F12&lt;&gt;"",F12&gt;=TODAY()),SUMPRODUCT(($G$5:$G$304&lt;&gt;"Renewed")*($F$5:$F$304&lt;&gt;"")*($F$5:$F$304&gt;=TODAY())*($F$5:$F$304&lt;F12))+SUMPRODUCT(($G$5:$G$304&lt;&gt;"Renewed")*($F$5:$F$304=F12)*(ROW($F$5:$F$304)&lt;ROW(F12)))+1,"")</f>
        <v/>
      </c>
      <c r="M12" s="140">
        <f>IF(H12&gt;0,SUMPRODUCT(($H$5:$H$304&gt;H12))+SUMPRODUCT(($H$5:$H$304=H12)*(ROW($H$5:$H$304)&lt;ROW(H12)))+1,"")</f>
        <v/>
      </c>
      <c r="N12" s="140">
        <f>IF(F12&lt;&gt;"",SUMPRODUCT(($F$5:$F$304=F12)*(ROW($F$5:$F$304)&lt;ROW(F12)))+1,"")</f>
        <v/>
      </c>
      <c r="O12" s="140">
        <f>IF(F12&lt;&gt;"",TEXT(F12,"yyyymmdd")&amp;"-"&amp;N12,"")</f>
        <v/>
      </c>
    </row>
    <row r="13" ht="15" customHeight="1" s="82">
      <c r="A13" s="83" t="n"/>
      <c r="B13" s="146">
        <f>IF(C13="","","POL-"&amp;TEXT(ROW()-4,"0000"))</f>
        <v/>
      </c>
      <c r="C13" s="146" t="inlineStr">
        <is>
          <t>Victor Otieno</t>
        </is>
      </c>
      <c r="D13" s="146" t="inlineStr">
        <is>
          <t>Motor</t>
        </is>
      </c>
      <c r="E13" s="146" t="inlineStr">
        <is>
          <t>Comprehensive cover - Toyota Axio KDA 624E</t>
        </is>
      </c>
      <c r="F13" s="147" t="n">
        <v>46302</v>
      </c>
      <c r="G13" s="146" t="inlineStr">
        <is>
          <t>Not Renewed</t>
        </is>
      </c>
      <c r="H13" s="139">
        <f>IF(OR(G13="Renewed",G13=""),0,IF(TODAY()&gt;F13,TODAY()-F13,0))</f>
        <v/>
      </c>
      <c r="I13" s="146" t="n"/>
      <c r="J13" s="146" t="inlineStr">
        <is>
          <t>victor.o8@example.com</t>
        </is>
      </c>
      <c r="K13" s="83" t="n"/>
      <c r="L13" s="140">
        <f>IF(AND(G13&lt;&gt;"Renewed",F13&lt;&gt;"",F13&gt;=TODAY()),SUMPRODUCT(($G$5:$G$304&lt;&gt;"Renewed")*($F$5:$F$304&lt;&gt;"")*($F$5:$F$304&gt;=TODAY())*($F$5:$F$304&lt;F13))+SUMPRODUCT(($G$5:$G$304&lt;&gt;"Renewed")*($F$5:$F$304=F13)*(ROW($F$5:$F$304)&lt;ROW(F13)))+1,"")</f>
        <v/>
      </c>
      <c r="M13" s="140">
        <f>IF(H13&gt;0,SUMPRODUCT(($H$5:$H$304&gt;H13))+SUMPRODUCT(($H$5:$H$304=H13)*(ROW($H$5:$H$304)&lt;ROW(H13)))+1,"")</f>
        <v/>
      </c>
      <c r="N13" s="140">
        <f>IF(F13&lt;&gt;"",SUMPRODUCT(($F$5:$F$304=F13)*(ROW($F$5:$F$304)&lt;ROW(F13)))+1,"")</f>
        <v/>
      </c>
      <c r="O13" s="140">
        <f>IF(F13&lt;&gt;"",TEXT(F13,"yyyymmdd")&amp;"-"&amp;N13,"")</f>
        <v/>
      </c>
    </row>
    <row r="14" ht="15" customHeight="1" s="82">
      <c r="A14" s="83" t="n"/>
      <c r="B14" s="144">
        <f>IF(C14="","","POL-"&amp;TEXT(ROW()-4,"0000"))</f>
        <v/>
      </c>
      <c r="C14" s="144" t="inlineStr">
        <is>
          <t>Joyce Karanja</t>
        </is>
      </c>
      <c r="D14" s="144" t="inlineStr">
        <is>
          <t>WIBA</t>
        </is>
      </c>
      <c r="E14" s="144" t="inlineStr">
        <is>
          <t>WIBA - 15 employees</t>
        </is>
      </c>
      <c r="F14" s="145" t="n">
        <v>46284</v>
      </c>
      <c r="G14" s="144" t="inlineStr">
        <is>
          <t>Not Renewed</t>
        </is>
      </c>
      <c r="H14" s="143">
        <f>IF(OR(G14="Renewed",G14=""),0,IF(TODAY()&gt;F14,TODAY()-F14,0))</f>
        <v/>
      </c>
      <c r="I14" s="144" t="inlineStr">
        <is>
          <t>Left voicemail</t>
        </is>
      </c>
      <c r="J14" s="144" t="inlineStr">
        <is>
          <t>joyce.k9@example.com</t>
        </is>
      </c>
      <c r="K14" s="83" t="n"/>
      <c r="L14" s="140">
        <f>IF(AND(G14&lt;&gt;"Renewed",F14&lt;&gt;"",F14&gt;=TODAY()),SUMPRODUCT(($G$5:$G$304&lt;&gt;"Renewed")*($F$5:$F$304&lt;&gt;"")*($F$5:$F$304&gt;=TODAY())*($F$5:$F$304&lt;F14))+SUMPRODUCT(($G$5:$G$304&lt;&gt;"Renewed")*($F$5:$F$304=F14)*(ROW($F$5:$F$304)&lt;ROW(F14)))+1,"")</f>
        <v/>
      </c>
      <c r="M14" s="140">
        <f>IF(H14&gt;0,SUMPRODUCT(($H$5:$H$304&gt;H14))+SUMPRODUCT(($H$5:$H$304=H14)*(ROW($H$5:$H$304)&lt;ROW(H14)))+1,"")</f>
        <v/>
      </c>
      <c r="N14" s="140">
        <f>IF(F14&lt;&gt;"",SUMPRODUCT(($F$5:$F$304=F14)*(ROW($F$5:$F$304)&lt;ROW(F14)))+1,"")</f>
        <v/>
      </c>
      <c r="O14" s="140">
        <f>IF(F14&lt;&gt;"",TEXT(F14,"yyyymmdd")&amp;"-"&amp;N14,"")</f>
        <v/>
      </c>
    </row>
    <row r="15" ht="15" customHeight="1" s="82">
      <c r="A15" s="83" t="n"/>
      <c r="B15" s="146">
        <f>IF(C15="","","POL-"&amp;TEXT(ROW()-4,"0000"))</f>
        <v/>
      </c>
      <c r="C15" s="146" t="inlineStr">
        <is>
          <t>Mwangi Hassan</t>
        </is>
      </c>
      <c r="D15" s="146" t="inlineStr">
        <is>
          <t>Motor</t>
        </is>
      </c>
      <c r="E15" s="146" t="inlineStr">
        <is>
          <t>Comprehensive cover - Mazda Demio KCZ 672K</t>
        </is>
      </c>
      <c r="F15" s="147" t="n">
        <v>46403</v>
      </c>
      <c r="G15" s="146" t="inlineStr">
        <is>
          <t>Not Renewed</t>
        </is>
      </c>
      <c r="H15" s="139">
        <f>IF(OR(G15="Renewed",G15=""),0,IF(TODAY()&gt;F15,TODAY()-F15,0))</f>
        <v/>
      </c>
      <c r="I15" s="146" t="n"/>
      <c r="J15" s="146" t="inlineStr">
        <is>
          <t>mwangi.h10@example.com</t>
        </is>
      </c>
      <c r="K15" s="83" t="n"/>
      <c r="L15" s="140">
        <f>IF(AND(G15&lt;&gt;"Renewed",F15&lt;&gt;"",F15&gt;=TODAY()),SUMPRODUCT(($G$5:$G$304&lt;&gt;"Renewed")*($F$5:$F$304&lt;&gt;"")*($F$5:$F$304&gt;=TODAY())*($F$5:$F$304&lt;F15))+SUMPRODUCT(($G$5:$G$304&lt;&gt;"Renewed")*($F$5:$F$304=F15)*(ROW($F$5:$F$304)&lt;ROW(F15)))+1,"")</f>
        <v/>
      </c>
      <c r="M15" s="140">
        <f>IF(H15&gt;0,SUMPRODUCT(($H$5:$H$304&gt;H15))+SUMPRODUCT(($H$5:$H$304=H15)*(ROW($H$5:$H$304)&lt;ROW(H15)))+1,"")</f>
        <v/>
      </c>
      <c r="N15" s="140">
        <f>IF(F15&lt;&gt;"",SUMPRODUCT(($F$5:$F$304=F15)*(ROW($F$5:$F$304)&lt;ROW(F15)))+1,"")</f>
        <v/>
      </c>
      <c r="O15" s="140">
        <f>IF(F15&lt;&gt;"",TEXT(F15,"yyyymmdd")&amp;"-"&amp;N15,"")</f>
        <v/>
      </c>
    </row>
    <row r="16" ht="15" customHeight="1" s="82">
      <c r="A16" s="83" t="n"/>
      <c r="B16" s="144">
        <f>IF(C16="","","POL-"&amp;TEXT(ROW()-4,"0000"))</f>
        <v/>
      </c>
      <c r="C16" s="144" t="inlineStr">
        <is>
          <t>Mercy Wanjiru</t>
        </is>
      </c>
      <c r="D16" s="144" t="inlineStr">
        <is>
          <t>Motor</t>
        </is>
      </c>
      <c r="E16" s="144" t="inlineStr">
        <is>
          <t>Third party only - Isuzu D-Max KCZ 556D</t>
        </is>
      </c>
      <c r="F16" s="145" t="n">
        <v>46306</v>
      </c>
      <c r="G16" s="144" t="inlineStr">
        <is>
          <t>Renewed</t>
        </is>
      </c>
      <c r="H16" s="143">
        <f>IF(OR(G16="Renewed",G16=""),0,IF(TODAY()&gt;F16,TODAY()-F16,0))</f>
        <v/>
      </c>
      <c r="I16" s="144" t="inlineStr">
        <is>
          <t>Renewed via bank transfer</t>
        </is>
      </c>
      <c r="J16" s="144" t="inlineStr">
        <is>
          <t>mercy.w11@example.com</t>
        </is>
      </c>
      <c r="K16" s="83" t="n"/>
      <c r="L16" s="140">
        <f>IF(AND(G16&lt;&gt;"Renewed",F16&lt;&gt;"",F16&gt;=TODAY()),SUMPRODUCT(($G$5:$G$304&lt;&gt;"Renewed")*($F$5:$F$304&lt;&gt;"")*($F$5:$F$304&gt;=TODAY())*($F$5:$F$304&lt;F16))+SUMPRODUCT(($G$5:$G$304&lt;&gt;"Renewed")*($F$5:$F$304=F16)*(ROW($F$5:$F$304)&lt;ROW(F16)))+1,"")</f>
        <v/>
      </c>
      <c r="M16" s="140">
        <f>IF(H16&gt;0,SUMPRODUCT(($H$5:$H$304&gt;H16))+SUMPRODUCT(($H$5:$H$304=H16)*(ROW($H$5:$H$304)&lt;ROW(H16)))+1,"")</f>
        <v/>
      </c>
      <c r="N16" s="140">
        <f>IF(F16&lt;&gt;"",SUMPRODUCT(($F$5:$F$304=F16)*(ROW($F$5:$F$304)&lt;ROW(F16)))+1,"")</f>
        <v/>
      </c>
      <c r="O16" s="140">
        <f>IF(F16&lt;&gt;"",TEXT(F16,"yyyymmdd")&amp;"-"&amp;N16,"")</f>
        <v/>
      </c>
    </row>
    <row r="17" ht="15" customHeight="1" s="82">
      <c r="A17" s="83" t="n"/>
      <c r="B17" s="146">
        <f>IF(C17="","","POL-"&amp;TEXT(ROW()-4,"0000"))</f>
        <v/>
      </c>
      <c r="C17" s="146" t="inlineStr">
        <is>
          <t>Ruth Omondi</t>
        </is>
      </c>
      <c r="D17" s="146" t="inlineStr">
        <is>
          <t>Motor</t>
        </is>
      </c>
      <c r="E17" s="146" t="inlineStr">
        <is>
          <t>Comprehensive cover - Toyota Axio KDC 241H</t>
        </is>
      </c>
      <c r="F17" s="147" t="n">
        <v>46318</v>
      </c>
      <c r="G17" s="146" t="inlineStr">
        <is>
          <t>Not Renewed</t>
        </is>
      </c>
      <c r="H17" s="139">
        <f>IF(OR(G17="Renewed",G17=""),0,IF(TODAY()&gt;F17,TODAY()-F17,0))</f>
        <v/>
      </c>
      <c r="I17" s="146" t="n"/>
      <c r="J17" s="146" t="inlineStr">
        <is>
          <t>ruth.o12@example.com</t>
        </is>
      </c>
      <c r="K17" s="83" t="n"/>
      <c r="L17" s="140">
        <f>IF(AND(G17&lt;&gt;"Renewed",F17&lt;&gt;"",F17&gt;=TODAY()),SUMPRODUCT(($G$5:$G$304&lt;&gt;"Renewed")*($F$5:$F$304&lt;&gt;"")*($F$5:$F$304&gt;=TODAY())*($F$5:$F$304&lt;F17))+SUMPRODUCT(($G$5:$G$304&lt;&gt;"Renewed")*($F$5:$F$304=F17)*(ROW($F$5:$F$304)&lt;ROW(F17)))+1,"")</f>
        <v/>
      </c>
      <c r="M17" s="140">
        <f>IF(H17&gt;0,SUMPRODUCT(($H$5:$H$304&gt;H17))+SUMPRODUCT(($H$5:$H$304=H17)*(ROW($H$5:$H$304)&lt;ROW(H17)))+1,"")</f>
        <v/>
      </c>
      <c r="N17" s="140">
        <f>IF(F17&lt;&gt;"",SUMPRODUCT(($F$5:$F$304=F17)*(ROW($F$5:$F$304)&lt;ROW(F17)))+1,"")</f>
        <v/>
      </c>
      <c r="O17" s="140">
        <f>IF(F17&lt;&gt;"",TEXT(F17,"yyyymmdd")&amp;"-"&amp;N17,"")</f>
        <v/>
      </c>
    </row>
    <row r="18" ht="15" customHeight="1" s="82">
      <c r="A18" s="83" t="n"/>
      <c r="B18" s="144">
        <f>IF(C18="","","POL-"&amp;TEXT(ROW()-4,"0000"))</f>
        <v/>
      </c>
      <c r="C18" s="144" t="inlineStr">
        <is>
          <t>Chebet Mbugua</t>
        </is>
      </c>
      <c r="D18" s="144" t="inlineStr">
        <is>
          <t>Fire</t>
        </is>
      </c>
      <c r="E18" s="144" t="inlineStr">
        <is>
          <t>Fire &amp; burglary - warehouse</t>
        </is>
      </c>
      <c r="F18" s="145" t="n">
        <v>46289</v>
      </c>
      <c r="G18" s="144" t="inlineStr">
        <is>
          <t>Renewed</t>
        </is>
      </c>
      <c r="H18" s="143">
        <f>IF(OR(G18="Renewed",G18=""),0,IF(TODAY()&gt;F18,TODAY()-F18,0))</f>
        <v/>
      </c>
      <c r="I18" s="144" t="inlineStr">
        <is>
          <t>Client renewed early</t>
        </is>
      </c>
      <c r="J18" s="144" t="inlineStr">
        <is>
          <t>chebet.m13@example.com</t>
        </is>
      </c>
      <c r="K18" s="83" t="n"/>
      <c r="L18" s="140">
        <f>IF(AND(G18&lt;&gt;"Renewed",F18&lt;&gt;"",F18&gt;=TODAY()),SUMPRODUCT(($G$5:$G$304&lt;&gt;"Renewed")*($F$5:$F$304&lt;&gt;"")*($F$5:$F$304&gt;=TODAY())*($F$5:$F$304&lt;F18))+SUMPRODUCT(($G$5:$G$304&lt;&gt;"Renewed")*($F$5:$F$304=F18)*(ROW($F$5:$F$304)&lt;ROW(F18)))+1,"")</f>
        <v/>
      </c>
      <c r="M18" s="140">
        <f>IF(H18&gt;0,SUMPRODUCT(($H$5:$H$304&gt;H18))+SUMPRODUCT(($H$5:$H$304=H18)*(ROW($H$5:$H$304)&lt;ROW(H18)))+1,"")</f>
        <v/>
      </c>
      <c r="N18" s="140">
        <f>IF(F18&lt;&gt;"",SUMPRODUCT(($F$5:$F$304=F18)*(ROW($F$5:$F$304)&lt;ROW(F18)))+1,"")</f>
        <v/>
      </c>
      <c r="O18" s="140">
        <f>IF(F18&lt;&gt;"",TEXT(F18,"yyyymmdd")&amp;"-"&amp;N18,"")</f>
        <v/>
      </c>
    </row>
    <row r="19" ht="15" customHeight="1" s="82">
      <c r="A19" s="83" t="n"/>
      <c r="B19" s="146">
        <f>IF(C19="","","POL-"&amp;TEXT(ROW()-4,"0000"))</f>
        <v/>
      </c>
      <c r="C19" s="146" t="inlineStr">
        <is>
          <t>Savannah Logistics Ltd</t>
        </is>
      </c>
      <c r="D19" s="146" t="inlineStr">
        <is>
          <t>Medical</t>
        </is>
      </c>
      <c r="E19" s="146" t="inlineStr">
        <is>
          <t>Group medical - 12 staff</t>
        </is>
      </c>
      <c r="F19" s="147" t="n">
        <v>46404</v>
      </c>
      <c r="G19" s="146" t="inlineStr">
        <is>
          <t>Not Renewed</t>
        </is>
      </c>
      <c r="H19" s="139">
        <f>IF(OR(G19="Renewed",G19=""),0,IF(TODAY()&gt;F19,TODAY()-F19,0))</f>
        <v/>
      </c>
      <c r="I19" s="146" t="n"/>
      <c r="J19" s="146" t="inlineStr">
        <is>
          <t>savannah.l14@example.com</t>
        </is>
      </c>
      <c r="K19" s="83" t="n"/>
      <c r="L19" s="140">
        <f>IF(AND(G19&lt;&gt;"Renewed",F19&lt;&gt;"",F19&gt;=TODAY()),SUMPRODUCT(($G$5:$G$304&lt;&gt;"Renewed")*($F$5:$F$304&lt;&gt;"")*($F$5:$F$304&gt;=TODAY())*($F$5:$F$304&lt;F19))+SUMPRODUCT(($G$5:$G$304&lt;&gt;"Renewed")*($F$5:$F$304=F19)*(ROW($F$5:$F$304)&lt;ROW(F19)))+1,"")</f>
        <v/>
      </c>
      <c r="M19" s="140">
        <f>IF(H19&gt;0,SUMPRODUCT(($H$5:$H$304&gt;H19))+SUMPRODUCT(($H$5:$H$304=H19)*(ROW($H$5:$H$304)&lt;ROW(H19)))+1,"")</f>
        <v/>
      </c>
      <c r="N19" s="140">
        <f>IF(F19&lt;&gt;"",SUMPRODUCT(($F$5:$F$304=F19)*(ROW($F$5:$F$304)&lt;ROW(F19)))+1,"")</f>
        <v/>
      </c>
      <c r="O19" s="140">
        <f>IF(F19&lt;&gt;"",TEXT(F19,"yyyymmdd")&amp;"-"&amp;N19,"")</f>
        <v/>
      </c>
    </row>
    <row r="20" ht="15" customHeight="1" s="82">
      <c r="A20" s="83" t="n"/>
      <c r="B20" s="144">
        <f>IF(C20="","","POL-"&amp;TEXT(ROW()-4,"0000"))</f>
        <v/>
      </c>
      <c r="C20" s="144" t="inlineStr">
        <is>
          <t>Grace Nyaga</t>
        </is>
      </c>
      <c r="D20" s="144" t="inlineStr">
        <is>
          <t>Public Liability</t>
        </is>
      </c>
      <c r="E20" s="144" t="inlineStr">
        <is>
          <t>Public liability - restaurant</t>
        </is>
      </c>
      <c r="F20" s="145" t="n">
        <v>46317</v>
      </c>
      <c r="G20" s="144" t="inlineStr">
        <is>
          <t>Not Renewed</t>
        </is>
      </c>
      <c r="H20" s="143">
        <f>IF(OR(G20="Renewed",G20=""),0,IF(TODAY()&gt;F20,TODAY()-F20,0))</f>
        <v/>
      </c>
      <c r="I20" s="144" t="n"/>
      <c r="J20" s="144" t="inlineStr">
        <is>
          <t>grace.n15@example.com</t>
        </is>
      </c>
      <c r="K20" s="83" t="n"/>
      <c r="L20" s="140">
        <f>IF(AND(G20&lt;&gt;"Renewed",F20&lt;&gt;"",F20&gt;=TODAY()),SUMPRODUCT(($G$5:$G$304&lt;&gt;"Renewed")*($F$5:$F$304&lt;&gt;"")*($F$5:$F$304&gt;=TODAY())*($F$5:$F$304&lt;F20))+SUMPRODUCT(($G$5:$G$304&lt;&gt;"Renewed")*($F$5:$F$304=F20)*(ROW($F$5:$F$304)&lt;ROW(F20)))+1,"")</f>
        <v/>
      </c>
      <c r="M20" s="140">
        <f>IF(H20&gt;0,SUMPRODUCT(($H$5:$H$304&gt;H20))+SUMPRODUCT(($H$5:$H$304=H20)*(ROW($H$5:$H$304)&lt;ROW(H20)))+1,"")</f>
        <v/>
      </c>
      <c r="N20" s="140">
        <f>IF(F20&lt;&gt;"",SUMPRODUCT(($F$5:$F$304=F20)*(ROW($F$5:$F$304)&lt;ROW(F20)))+1,"")</f>
        <v/>
      </c>
      <c r="O20" s="140">
        <f>IF(F20&lt;&gt;"",TEXT(F20,"yyyymmdd")&amp;"-"&amp;N20,"")</f>
        <v/>
      </c>
    </row>
    <row r="21" ht="15" customHeight="1" s="82">
      <c r="A21" s="83" t="n"/>
      <c r="B21" s="146">
        <f>IF(C21="","","POL-"&amp;TEXT(ROW()-4,"0000"))</f>
        <v/>
      </c>
      <c r="C21" s="146" t="inlineStr">
        <is>
          <t>Linet Njeri</t>
        </is>
      </c>
      <c r="D21" s="146" t="inlineStr">
        <is>
          <t>Motor</t>
        </is>
      </c>
      <c r="E21" s="146" t="inlineStr">
        <is>
          <t>Comprehensive cover - Toyota Axio KCZ 659F</t>
        </is>
      </c>
      <c r="F21" s="147" t="n">
        <v>46314</v>
      </c>
      <c r="G21" s="146" t="inlineStr">
        <is>
          <t>Not Renewed</t>
        </is>
      </c>
      <c r="H21" s="139">
        <f>IF(OR(G21="Renewed",G21=""),0,IF(TODAY()&gt;F21,TODAY()-F21,0))</f>
        <v/>
      </c>
      <c r="I21" s="146" t="n"/>
      <c r="J21" s="146" t="inlineStr">
        <is>
          <t>linet.n16@example.com</t>
        </is>
      </c>
      <c r="K21" s="83" t="n"/>
      <c r="L21" s="140">
        <f>IF(AND(G21&lt;&gt;"Renewed",F21&lt;&gt;"",F21&gt;=TODAY()),SUMPRODUCT(($G$5:$G$304&lt;&gt;"Renewed")*($F$5:$F$304&lt;&gt;"")*($F$5:$F$304&gt;=TODAY())*($F$5:$F$304&lt;F21))+SUMPRODUCT(($G$5:$G$304&lt;&gt;"Renewed")*($F$5:$F$304=F21)*(ROW($F$5:$F$304)&lt;ROW(F21)))+1,"")</f>
        <v/>
      </c>
      <c r="M21" s="140">
        <f>IF(H21&gt;0,SUMPRODUCT(($H$5:$H$304&gt;H21))+SUMPRODUCT(($H$5:$H$304=H21)*(ROW($H$5:$H$304)&lt;ROW(H21)))+1,"")</f>
        <v/>
      </c>
      <c r="N21" s="140">
        <f>IF(F21&lt;&gt;"",SUMPRODUCT(($F$5:$F$304=F21)*(ROW($F$5:$F$304)&lt;ROW(F21)))+1,"")</f>
        <v/>
      </c>
      <c r="O21" s="140">
        <f>IF(F21&lt;&gt;"",TEXT(F21,"yyyymmdd")&amp;"-"&amp;N21,"")</f>
        <v/>
      </c>
    </row>
    <row r="22" ht="15" customHeight="1" s="82">
      <c r="A22" s="83" t="n"/>
      <c r="B22" s="144">
        <f>IF(C22="","","POL-"&amp;TEXT(ROW()-4,"0000"))</f>
        <v/>
      </c>
      <c r="C22" s="144" t="inlineStr">
        <is>
          <t>Mwangi Njeri</t>
        </is>
      </c>
      <c r="D22" s="144" t="inlineStr">
        <is>
          <t>WIBA</t>
        </is>
      </c>
      <c r="E22" s="144" t="inlineStr">
        <is>
          <t>WIBA - 60 employees</t>
        </is>
      </c>
      <c r="F22" s="145" t="n">
        <v>46313</v>
      </c>
      <c r="G22" s="144" t="inlineStr">
        <is>
          <t>Not Renewed</t>
        </is>
      </c>
      <c r="H22" s="143">
        <f>IF(OR(G22="Renewed",G22=""),0,IF(TODAY()&gt;F22,TODAY()-F22,0))</f>
        <v/>
      </c>
      <c r="I22" s="144" t="n"/>
      <c r="J22" s="144" t="inlineStr">
        <is>
          <t>mwangi.n17@example.com</t>
        </is>
      </c>
      <c r="K22" s="83" t="n"/>
      <c r="L22" s="140">
        <f>IF(AND(G22&lt;&gt;"Renewed",F22&lt;&gt;"",F22&gt;=TODAY()),SUMPRODUCT(($G$5:$G$304&lt;&gt;"Renewed")*($F$5:$F$304&lt;&gt;"")*($F$5:$F$304&gt;=TODAY())*($F$5:$F$304&lt;F22))+SUMPRODUCT(($G$5:$G$304&lt;&gt;"Renewed")*($F$5:$F$304=F22)*(ROW($F$5:$F$304)&lt;ROW(F22)))+1,"")</f>
        <v/>
      </c>
      <c r="M22" s="140">
        <f>IF(H22&gt;0,SUMPRODUCT(($H$5:$H$304&gt;H22))+SUMPRODUCT(($H$5:$H$304=H22)*(ROW($H$5:$H$304)&lt;ROW(H22)))+1,"")</f>
        <v/>
      </c>
      <c r="N22" s="140">
        <f>IF(F22&lt;&gt;"",SUMPRODUCT(($F$5:$F$304=F22)*(ROW($F$5:$F$304)&lt;ROW(F22)))+1,"")</f>
        <v/>
      </c>
      <c r="O22" s="140">
        <f>IF(F22&lt;&gt;"",TEXT(F22,"yyyymmdd")&amp;"-"&amp;N22,"")</f>
        <v/>
      </c>
    </row>
    <row r="23" ht="15" customHeight="1" s="82">
      <c r="A23" s="83" t="n"/>
      <c r="B23" s="146">
        <f>IF(C23="","","POL-"&amp;TEXT(ROW()-4,"0000"))</f>
        <v/>
      </c>
      <c r="C23" s="146" t="inlineStr">
        <is>
          <t>Amina Karanja</t>
        </is>
      </c>
      <c r="D23" s="146" t="inlineStr">
        <is>
          <t>WIBA</t>
        </is>
      </c>
      <c r="E23" s="146" t="inlineStr">
        <is>
          <t>WIBA - 25 employees</t>
        </is>
      </c>
      <c r="F23" s="147" t="n">
        <v>46316</v>
      </c>
      <c r="G23" s="146" t="inlineStr">
        <is>
          <t>Not Renewed</t>
        </is>
      </c>
      <c r="H23" s="139">
        <f>IF(OR(G23="Renewed",G23=""),0,IF(TODAY()&gt;F23,TODAY()-F23,0))</f>
        <v/>
      </c>
      <c r="I23" s="146" t="n"/>
      <c r="J23" s="146" t="inlineStr">
        <is>
          <t>amina.k18@example.com</t>
        </is>
      </c>
      <c r="K23" s="83" t="n"/>
      <c r="L23" s="140">
        <f>IF(AND(G23&lt;&gt;"Renewed",F23&lt;&gt;"",F23&gt;=TODAY()),SUMPRODUCT(($G$5:$G$304&lt;&gt;"Renewed")*($F$5:$F$304&lt;&gt;"")*($F$5:$F$304&gt;=TODAY())*($F$5:$F$304&lt;F23))+SUMPRODUCT(($G$5:$G$304&lt;&gt;"Renewed")*($F$5:$F$304=F23)*(ROW($F$5:$F$304)&lt;ROW(F23)))+1,"")</f>
        <v/>
      </c>
      <c r="M23" s="140">
        <f>IF(H23&gt;0,SUMPRODUCT(($H$5:$H$304&gt;H23))+SUMPRODUCT(($H$5:$H$304=H23)*(ROW($H$5:$H$304)&lt;ROW(H23)))+1,"")</f>
        <v/>
      </c>
      <c r="N23" s="140">
        <f>IF(F23&lt;&gt;"",SUMPRODUCT(($F$5:$F$304=F23)*(ROW($F$5:$F$304)&lt;ROW(F23)))+1,"")</f>
        <v/>
      </c>
      <c r="O23" s="140">
        <f>IF(F23&lt;&gt;"",TEXT(F23,"yyyymmdd")&amp;"-"&amp;N23,"")</f>
        <v/>
      </c>
    </row>
    <row r="24" ht="15" customHeight="1" s="82">
      <c r="A24" s="83" t="n"/>
      <c r="B24" s="144">
        <f>IF(C24="","","POL-"&amp;TEXT(ROW()-4,"0000"))</f>
        <v/>
      </c>
      <c r="C24" s="144" t="inlineStr">
        <is>
          <t>Felix Adhiambo</t>
        </is>
      </c>
      <c r="D24" s="144" t="inlineStr">
        <is>
          <t>Medical</t>
        </is>
      </c>
      <c r="E24" s="144" t="inlineStr">
        <is>
          <t>Family medical cover - Silver Plan</t>
        </is>
      </c>
      <c r="F24" s="145" t="n">
        <v>46266</v>
      </c>
      <c r="G24" s="144" t="inlineStr">
        <is>
          <t>Renewed</t>
        </is>
      </c>
      <c r="H24" s="143">
        <f>IF(OR(G24="Renewed",G24=""),0,IF(TODAY()&gt;F24,TODAY()-F24,0))</f>
        <v/>
      </c>
      <c r="I24" s="144" t="inlineStr">
        <is>
          <t>Client renewed early</t>
        </is>
      </c>
      <c r="J24" s="144" t="inlineStr">
        <is>
          <t>felix.a19@example.com</t>
        </is>
      </c>
      <c r="K24" s="83" t="n"/>
      <c r="L24" s="140">
        <f>IF(AND(G24&lt;&gt;"Renewed",F24&lt;&gt;"",F24&gt;=TODAY()),SUMPRODUCT(($G$5:$G$304&lt;&gt;"Renewed")*($F$5:$F$304&lt;&gt;"")*($F$5:$F$304&gt;=TODAY())*($F$5:$F$304&lt;F24))+SUMPRODUCT(($G$5:$G$304&lt;&gt;"Renewed")*($F$5:$F$304=F24)*(ROW($F$5:$F$304)&lt;ROW(F24)))+1,"")</f>
        <v/>
      </c>
      <c r="M24" s="140">
        <f>IF(H24&gt;0,SUMPRODUCT(($H$5:$H$304&gt;H24))+SUMPRODUCT(($H$5:$H$304=H24)*(ROW($H$5:$H$304)&lt;ROW(H24)))+1,"")</f>
        <v/>
      </c>
      <c r="N24" s="140">
        <f>IF(F24&lt;&gt;"",SUMPRODUCT(($F$5:$F$304=F24)*(ROW($F$5:$F$304)&lt;ROW(F24)))+1,"")</f>
        <v/>
      </c>
      <c r="O24" s="140">
        <f>IF(F24&lt;&gt;"",TEXT(F24,"yyyymmdd")&amp;"-"&amp;N24,"")</f>
        <v/>
      </c>
    </row>
    <row r="25" ht="15" customHeight="1" s="82">
      <c r="A25" s="83" t="n"/>
      <c r="B25" s="146">
        <f>IF(C25="","","POL-"&amp;TEXT(ROW()-4,"0000"))</f>
        <v/>
      </c>
      <c r="C25" s="146" t="inlineStr">
        <is>
          <t>Kilimani Pharmacy</t>
        </is>
      </c>
      <c r="D25" s="146" t="inlineStr">
        <is>
          <t>Public Liability</t>
        </is>
      </c>
      <c r="E25" s="146" t="inlineStr">
        <is>
          <t>Public liability - restaurant</t>
        </is>
      </c>
      <c r="F25" s="147" t="n">
        <v>46263</v>
      </c>
      <c r="G25" s="146" t="inlineStr">
        <is>
          <t>Renewed</t>
        </is>
      </c>
      <c r="H25" s="139">
        <f>IF(OR(G25="Renewed",G25=""),0,IF(TODAY()&gt;F25,TODAY()-F25,0))</f>
        <v/>
      </c>
      <c r="I25" s="146" t="inlineStr">
        <is>
          <t>Renewed, certificate sent</t>
        </is>
      </c>
      <c r="J25" s="146" t="inlineStr">
        <is>
          <t>kilimani.p20@example.com</t>
        </is>
      </c>
      <c r="K25" s="83" t="n"/>
      <c r="L25" s="140">
        <f>IF(AND(G25&lt;&gt;"Renewed",F25&lt;&gt;"",F25&gt;=TODAY()),SUMPRODUCT(($G$5:$G$304&lt;&gt;"Renewed")*($F$5:$F$304&lt;&gt;"")*($F$5:$F$304&gt;=TODAY())*($F$5:$F$304&lt;F25))+SUMPRODUCT(($G$5:$G$304&lt;&gt;"Renewed")*($F$5:$F$304=F25)*(ROW($F$5:$F$304)&lt;ROW(F25)))+1,"")</f>
        <v/>
      </c>
      <c r="M25" s="140">
        <f>IF(H25&gt;0,SUMPRODUCT(($H$5:$H$304&gt;H25))+SUMPRODUCT(($H$5:$H$304=H25)*(ROW($H$5:$H$304)&lt;ROW(H25)))+1,"")</f>
        <v/>
      </c>
      <c r="N25" s="140">
        <f>IF(F25&lt;&gt;"",SUMPRODUCT(($F$5:$F$304=F25)*(ROW($F$5:$F$304)&lt;ROW(F25)))+1,"")</f>
        <v/>
      </c>
      <c r="O25" s="140">
        <f>IF(F25&lt;&gt;"",TEXT(F25,"yyyymmdd")&amp;"-"&amp;N25,"")</f>
        <v/>
      </c>
    </row>
    <row r="26" ht="15" customHeight="1" s="82">
      <c r="A26" s="83" t="n"/>
      <c r="B26" s="144">
        <f>IF(C26="","","POL-"&amp;TEXT(ROW()-4,"0000"))</f>
        <v/>
      </c>
      <c r="C26" s="144" t="inlineStr">
        <is>
          <t>Mwangi Wafula</t>
        </is>
      </c>
      <c r="D26" s="144" t="inlineStr">
        <is>
          <t>Medical</t>
        </is>
      </c>
      <c r="E26" s="144" t="inlineStr">
        <is>
          <t>Family medical cover - Bronze Plan</t>
        </is>
      </c>
      <c r="F26" s="145" t="n">
        <v>46305</v>
      </c>
      <c r="G26" s="144" t="inlineStr">
        <is>
          <t>Not Renewed</t>
        </is>
      </c>
      <c r="H26" s="143">
        <f>IF(OR(G26="Renewed",G26=""),0,IF(TODAY()&gt;F26,TODAY()-F26,0))</f>
        <v/>
      </c>
      <c r="I26" s="144" t="n"/>
      <c r="J26" s="144" t="inlineStr">
        <is>
          <t>mwangi.w21@example.com</t>
        </is>
      </c>
      <c r="K26" s="83" t="n"/>
      <c r="L26" s="140">
        <f>IF(AND(G26&lt;&gt;"Renewed",F26&lt;&gt;"",F26&gt;=TODAY()),SUMPRODUCT(($G$5:$G$304&lt;&gt;"Renewed")*($F$5:$F$304&lt;&gt;"")*($F$5:$F$304&gt;=TODAY())*($F$5:$F$304&lt;F26))+SUMPRODUCT(($G$5:$G$304&lt;&gt;"Renewed")*($F$5:$F$304=F26)*(ROW($F$5:$F$304)&lt;ROW(F26)))+1,"")</f>
        <v/>
      </c>
      <c r="M26" s="140">
        <f>IF(H26&gt;0,SUMPRODUCT(($H$5:$H$304&gt;H26))+SUMPRODUCT(($H$5:$H$304=H26)*(ROW($H$5:$H$304)&lt;ROW(H26)))+1,"")</f>
        <v/>
      </c>
      <c r="N26" s="140">
        <f>IF(F26&lt;&gt;"",SUMPRODUCT(($F$5:$F$304=F26)*(ROW($F$5:$F$304)&lt;ROW(F26)))+1,"")</f>
        <v/>
      </c>
      <c r="O26" s="140">
        <f>IF(F26&lt;&gt;"",TEXT(F26,"yyyymmdd")&amp;"-"&amp;N26,"")</f>
        <v/>
      </c>
    </row>
    <row r="27" ht="15" customHeight="1" s="82">
      <c r="A27" s="83" t="n"/>
      <c r="B27" s="146">
        <f>IF(C27="","","POL-"&amp;TEXT(ROW()-4,"0000"))</f>
        <v/>
      </c>
      <c r="C27" s="146" t="inlineStr">
        <is>
          <t>Amina Mbugua</t>
        </is>
      </c>
      <c r="D27" s="146" t="inlineStr">
        <is>
          <t>WIBA</t>
        </is>
      </c>
      <c r="E27" s="146" t="inlineStr">
        <is>
          <t>WIBA - 25 employees</t>
        </is>
      </c>
      <c r="F27" s="147" t="n">
        <v>46288</v>
      </c>
      <c r="G27" s="146" t="inlineStr">
        <is>
          <t>Renewed</t>
        </is>
      </c>
      <c r="H27" s="139">
        <f>IF(OR(G27="Renewed",G27=""),0,IF(TODAY()&gt;F27,TODAY()-F27,0))</f>
        <v/>
      </c>
      <c r="I27" s="146" t="inlineStr">
        <is>
          <t>Renewed, certificate sent</t>
        </is>
      </c>
      <c r="J27" s="146" t="inlineStr">
        <is>
          <t>amina.m22@example.com</t>
        </is>
      </c>
      <c r="K27" s="83" t="n"/>
      <c r="L27" s="140">
        <f>IF(AND(G27&lt;&gt;"Renewed",F27&lt;&gt;"",F27&gt;=TODAY()),SUMPRODUCT(($G$5:$G$304&lt;&gt;"Renewed")*($F$5:$F$304&lt;&gt;"")*($F$5:$F$304&gt;=TODAY())*($F$5:$F$304&lt;F27))+SUMPRODUCT(($G$5:$G$304&lt;&gt;"Renewed")*($F$5:$F$304=F27)*(ROW($F$5:$F$304)&lt;ROW(F27)))+1,"")</f>
        <v/>
      </c>
      <c r="M27" s="140">
        <f>IF(H27&gt;0,SUMPRODUCT(($H$5:$H$304&gt;H27))+SUMPRODUCT(($H$5:$H$304=H27)*(ROW($H$5:$H$304)&lt;ROW(H27)))+1,"")</f>
        <v/>
      </c>
      <c r="N27" s="140">
        <f>IF(F27&lt;&gt;"",SUMPRODUCT(($F$5:$F$304=F27)*(ROW($F$5:$F$304)&lt;ROW(F27)))+1,"")</f>
        <v/>
      </c>
      <c r="O27" s="140">
        <f>IF(F27&lt;&gt;"",TEXT(F27,"yyyymmdd")&amp;"-"&amp;N27,"")</f>
        <v/>
      </c>
    </row>
    <row r="28" ht="15" customHeight="1" s="82">
      <c r="A28" s="83" t="n"/>
      <c r="B28" s="144">
        <f>IF(C28="","","POL-"&amp;TEXT(ROW()-4,"0000"))</f>
        <v/>
      </c>
      <c r="C28" s="144" t="inlineStr">
        <is>
          <t>Collins Wanjiru</t>
        </is>
      </c>
      <c r="D28" s="144" t="inlineStr">
        <is>
          <t>Motor</t>
        </is>
      </c>
      <c r="E28" s="144" t="inlineStr">
        <is>
          <t>Comprehensive cover - Subaru Forester KDA 609K</t>
        </is>
      </c>
      <c r="F28" s="145" t="n">
        <v>46273</v>
      </c>
      <c r="G28" s="144" t="inlineStr">
        <is>
          <t>Not Renewed</t>
        </is>
      </c>
      <c r="H28" s="143">
        <f>IF(OR(G28="Renewed",G28=""),0,IF(TODAY()&gt;F28,TODAY()-F28,0))</f>
        <v/>
      </c>
      <c r="I28" s="144" t="inlineStr">
        <is>
          <t>Client requested revised quote</t>
        </is>
      </c>
      <c r="J28" s="144" t="inlineStr">
        <is>
          <t>collins.w23@example.com</t>
        </is>
      </c>
      <c r="K28" s="83" t="n"/>
      <c r="L28" s="140">
        <f>IF(AND(G28&lt;&gt;"Renewed",F28&lt;&gt;"",F28&gt;=TODAY()),SUMPRODUCT(($G$5:$G$304&lt;&gt;"Renewed")*($F$5:$F$304&lt;&gt;"")*($F$5:$F$304&gt;=TODAY())*($F$5:$F$304&lt;F28))+SUMPRODUCT(($G$5:$G$304&lt;&gt;"Renewed")*($F$5:$F$304=F28)*(ROW($F$5:$F$304)&lt;ROW(F28)))+1,"")</f>
        <v/>
      </c>
      <c r="M28" s="140">
        <f>IF(H28&gt;0,SUMPRODUCT(($H$5:$H$304&gt;H28))+SUMPRODUCT(($H$5:$H$304=H28)*(ROW($H$5:$H$304)&lt;ROW(H28)))+1,"")</f>
        <v/>
      </c>
      <c r="N28" s="140">
        <f>IF(F28&lt;&gt;"",SUMPRODUCT(($F$5:$F$304=F28)*(ROW($F$5:$F$304)&lt;ROW(F28)))+1,"")</f>
        <v/>
      </c>
      <c r="O28" s="140">
        <f>IF(F28&lt;&gt;"",TEXT(F28,"yyyymmdd")&amp;"-"&amp;N28,"")</f>
        <v/>
      </c>
    </row>
    <row r="29" ht="15" customHeight="1" s="82">
      <c r="A29" s="83" t="n"/>
      <c r="B29" s="146">
        <f>IF(C29="","","POL-"&amp;TEXT(ROW()-4,"0000"))</f>
        <v/>
      </c>
      <c r="C29" s="146" t="inlineStr">
        <is>
          <t>Grace Muriuki</t>
        </is>
      </c>
      <c r="D29" s="146" t="inlineStr">
        <is>
          <t>Motor</t>
        </is>
      </c>
      <c r="E29" s="146" t="inlineStr">
        <is>
          <t>Comprehensive cover - Mazda Demio KDB 630C</t>
        </is>
      </c>
      <c r="F29" s="147" t="n">
        <v>46295</v>
      </c>
      <c r="G29" s="146" t="inlineStr">
        <is>
          <t>Renewed</t>
        </is>
      </c>
      <c r="H29" s="139">
        <f>IF(OR(G29="Renewed",G29=""),0,IF(TODAY()&gt;F29,TODAY()-F29,0))</f>
        <v/>
      </c>
      <c r="I29" s="146" t="inlineStr">
        <is>
          <t>Renewed, certificate sent</t>
        </is>
      </c>
      <c r="J29" s="146" t="inlineStr">
        <is>
          <t>grace.m24@example.com</t>
        </is>
      </c>
      <c r="K29" s="83" t="n"/>
      <c r="L29" s="140">
        <f>IF(AND(G29&lt;&gt;"Renewed",F29&lt;&gt;"",F29&gt;=TODAY()),SUMPRODUCT(($G$5:$G$304&lt;&gt;"Renewed")*($F$5:$F$304&lt;&gt;"")*($F$5:$F$304&gt;=TODAY())*($F$5:$F$304&lt;F29))+SUMPRODUCT(($G$5:$G$304&lt;&gt;"Renewed")*($F$5:$F$304=F29)*(ROW($F$5:$F$304)&lt;ROW(F29)))+1,"")</f>
        <v/>
      </c>
      <c r="M29" s="140">
        <f>IF(H29&gt;0,SUMPRODUCT(($H$5:$H$304&gt;H29))+SUMPRODUCT(($H$5:$H$304=H29)*(ROW($H$5:$H$304)&lt;ROW(H29)))+1,"")</f>
        <v/>
      </c>
      <c r="N29" s="140">
        <f>IF(F29&lt;&gt;"",SUMPRODUCT(($F$5:$F$304=F29)*(ROW($F$5:$F$304)&lt;ROW(F29)))+1,"")</f>
        <v/>
      </c>
      <c r="O29" s="140">
        <f>IF(F29&lt;&gt;"",TEXT(F29,"yyyymmdd")&amp;"-"&amp;N29,"")</f>
        <v/>
      </c>
    </row>
    <row r="30" ht="15" customHeight="1" s="82">
      <c r="A30" s="83" t="n"/>
      <c r="B30" s="144">
        <f>IF(C30="","","POL-"&amp;TEXT(ROW()-4,"0000"))</f>
        <v/>
      </c>
      <c r="C30" s="144" t="inlineStr">
        <is>
          <t>Esther Barasa</t>
        </is>
      </c>
      <c r="D30" s="144" t="inlineStr">
        <is>
          <t>Motor</t>
        </is>
      </c>
      <c r="E30" s="144" t="inlineStr">
        <is>
          <t>Third party only - Isuzu D-Max KCZ 781E</t>
        </is>
      </c>
      <c r="F30" s="145" t="n">
        <v>46338</v>
      </c>
      <c r="G30" s="144" t="inlineStr">
        <is>
          <t>Not Renewed</t>
        </is>
      </c>
      <c r="H30" s="143">
        <f>IF(OR(G30="Renewed",G30=""),0,IF(TODAY()&gt;F30,TODAY()-F30,0))</f>
        <v/>
      </c>
      <c r="I30" s="144" t="n"/>
      <c r="J30" s="144" t="inlineStr">
        <is>
          <t>esther.b25@example.com</t>
        </is>
      </c>
      <c r="K30" s="83" t="n"/>
      <c r="L30" s="140">
        <f>IF(AND(G30&lt;&gt;"Renewed",F30&lt;&gt;"",F30&gt;=TODAY()),SUMPRODUCT(($G$5:$G$304&lt;&gt;"Renewed")*($F$5:$F$304&lt;&gt;"")*($F$5:$F$304&gt;=TODAY())*($F$5:$F$304&lt;F30))+SUMPRODUCT(($G$5:$G$304&lt;&gt;"Renewed")*($F$5:$F$304=F30)*(ROW($F$5:$F$304)&lt;ROW(F30)))+1,"")</f>
        <v/>
      </c>
      <c r="M30" s="140">
        <f>IF(H30&gt;0,SUMPRODUCT(($H$5:$H$304&gt;H30))+SUMPRODUCT(($H$5:$H$304=H30)*(ROW($H$5:$H$304)&lt;ROW(H30)))+1,"")</f>
        <v/>
      </c>
      <c r="N30" s="140">
        <f>IF(F30&lt;&gt;"",SUMPRODUCT(($F$5:$F$304=F30)*(ROW($F$5:$F$304)&lt;ROW(F30)))+1,"")</f>
        <v/>
      </c>
      <c r="O30" s="140">
        <f>IF(F30&lt;&gt;"",TEXT(F30,"yyyymmdd")&amp;"-"&amp;N30,"")</f>
        <v/>
      </c>
    </row>
    <row r="31" ht="15" customHeight="1" s="82">
      <c r="A31" s="83" t="n"/>
      <c r="B31" s="146">
        <f>IF(C31="","","POL-"&amp;TEXT(ROW()-4,"0000"))</f>
        <v/>
      </c>
      <c r="C31" s="146" t="inlineStr">
        <is>
          <t>Achieng Akinyi</t>
        </is>
      </c>
      <c r="D31" s="146" t="inlineStr">
        <is>
          <t>Motor</t>
        </is>
      </c>
      <c r="E31" s="146" t="inlineStr">
        <is>
          <t>Comprehensive cover - Honda Fit KDB 697F</t>
        </is>
      </c>
      <c r="F31" s="147" t="n">
        <v>46323</v>
      </c>
      <c r="G31" s="146" t="inlineStr">
        <is>
          <t>Not Renewed</t>
        </is>
      </c>
      <c r="H31" s="139">
        <f>IF(OR(G31="Renewed",G31=""),0,IF(TODAY()&gt;F31,TODAY()-F31,0))</f>
        <v/>
      </c>
      <c r="I31" s="146" t="n"/>
      <c r="J31" s="146" t="inlineStr">
        <is>
          <t>achieng.a26@example.com</t>
        </is>
      </c>
      <c r="K31" s="83" t="n"/>
      <c r="L31" s="140">
        <f>IF(AND(G31&lt;&gt;"Renewed",F31&lt;&gt;"",F31&gt;=TODAY()),SUMPRODUCT(($G$5:$G$304&lt;&gt;"Renewed")*($F$5:$F$304&lt;&gt;"")*($F$5:$F$304&gt;=TODAY())*($F$5:$F$304&lt;F31))+SUMPRODUCT(($G$5:$G$304&lt;&gt;"Renewed")*($F$5:$F$304=F31)*(ROW($F$5:$F$304)&lt;ROW(F31)))+1,"")</f>
        <v/>
      </c>
      <c r="M31" s="140">
        <f>IF(H31&gt;0,SUMPRODUCT(($H$5:$H$304&gt;H31))+SUMPRODUCT(($H$5:$H$304=H31)*(ROW($H$5:$H$304)&lt;ROW(H31)))+1,"")</f>
        <v/>
      </c>
      <c r="N31" s="140">
        <f>IF(F31&lt;&gt;"",SUMPRODUCT(($F$5:$F$304=F31)*(ROW($F$5:$F$304)&lt;ROW(F31)))+1,"")</f>
        <v/>
      </c>
      <c r="O31" s="140">
        <f>IF(F31&lt;&gt;"",TEXT(F31,"yyyymmdd")&amp;"-"&amp;N31,"")</f>
        <v/>
      </c>
    </row>
    <row r="32" ht="15" customHeight="1" s="82">
      <c r="A32" s="83" t="n"/>
      <c r="B32" s="144">
        <f>IF(C32="","","POL-"&amp;TEXT(ROW()-4,"0000"))</f>
        <v/>
      </c>
      <c r="C32" s="144" t="inlineStr">
        <is>
          <t>Nyota Schools Ltd</t>
        </is>
      </c>
      <c r="D32" s="144" t="inlineStr">
        <is>
          <t>WIBA</t>
        </is>
      </c>
      <c r="E32" s="144" t="inlineStr">
        <is>
          <t>WIBA - 25 employees</t>
        </is>
      </c>
      <c r="F32" s="145" t="n">
        <v>46352</v>
      </c>
      <c r="G32" s="144" t="inlineStr">
        <is>
          <t>Not Renewed</t>
        </is>
      </c>
      <c r="H32" s="143">
        <f>IF(OR(G32="Renewed",G32=""),0,IF(TODAY()&gt;F32,TODAY()-F32,0))</f>
        <v/>
      </c>
      <c r="I32" s="144" t="n"/>
      <c r="J32" s="144" t="inlineStr">
        <is>
          <t>nyota.l27@example.com</t>
        </is>
      </c>
      <c r="K32" s="83" t="n"/>
      <c r="L32" s="140">
        <f>IF(AND(G32&lt;&gt;"Renewed",F32&lt;&gt;"",F32&gt;=TODAY()),SUMPRODUCT(($G$5:$G$304&lt;&gt;"Renewed")*($F$5:$F$304&lt;&gt;"")*($F$5:$F$304&gt;=TODAY())*($F$5:$F$304&lt;F32))+SUMPRODUCT(($G$5:$G$304&lt;&gt;"Renewed")*($F$5:$F$304=F32)*(ROW($F$5:$F$304)&lt;ROW(F32)))+1,"")</f>
        <v/>
      </c>
      <c r="M32" s="140">
        <f>IF(H32&gt;0,SUMPRODUCT(($H$5:$H$304&gt;H32))+SUMPRODUCT(($H$5:$H$304=H32)*(ROW($H$5:$H$304)&lt;ROW(H32)))+1,"")</f>
        <v/>
      </c>
      <c r="N32" s="140">
        <f>IF(F32&lt;&gt;"",SUMPRODUCT(($F$5:$F$304=F32)*(ROW($F$5:$F$304)&lt;ROW(F32)))+1,"")</f>
        <v/>
      </c>
      <c r="O32" s="140">
        <f>IF(F32&lt;&gt;"",TEXT(F32,"yyyymmdd")&amp;"-"&amp;N32,"")</f>
        <v/>
      </c>
    </row>
    <row r="33" ht="15" customHeight="1" s="82">
      <c r="A33" s="83" t="n"/>
      <c r="B33" s="146">
        <f>IF(C33="","","POL-"&amp;TEXT(ROW()-4,"0000"))</f>
        <v/>
      </c>
      <c r="C33" s="146" t="inlineStr">
        <is>
          <t>Joyce Mutua</t>
        </is>
      </c>
      <c r="D33" s="146" t="inlineStr">
        <is>
          <t>Motor</t>
        </is>
      </c>
      <c r="E33" s="146" t="inlineStr">
        <is>
          <t>Comprehensive cover - Honda Fit KCZ 381D</t>
        </is>
      </c>
      <c r="F33" s="147" t="n">
        <v>46322</v>
      </c>
      <c r="G33" s="146" t="inlineStr">
        <is>
          <t>Not Renewed</t>
        </is>
      </c>
      <c r="H33" s="139">
        <f>IF(OR(G33="Renewed",G33=""),0,IF(TODAY()&gt;F33,TODAY()-F33,0))</f>
        <v/>
      </c>
      <c r="I33" s="146" t="n"/>
      <c r="J33" s="146" t="inlineStr">
        <is>
          <t>joyce.m28@example.com</t>
        </is>
      </c>
      <c r="K33" s="83" t="n"/>
      <c r="L33" s="140">
        <f>IF(AND(G33&lt;&gt;"Renewed",F33&lt;&gt;"",F33&gt;=TODAY()),SUMPRODUCT(($G$5:$G$304&lt;&gt;"Renewed")*($F$5:$F$304&lt;&gt;"")*($F$5:$F$304&gt;=TODAY())*($F$5:$F$304&lt;F33))+SUMPRODUCT(($G$5:$G$304&lt;&gt;"Renewed")*($F$5:$F$304=F33)*(ROW($F$5:$F$304)&lt;ROW(F33)))+1,"")</f>
        <v/>
      </c>
      <c r="M33" s="140">
        <f>IF(H33&gt;0,SUMPRODUCT(($H$5:$H$304&gt;H33))+SUMPRODUCT(($H$5:$H$304=H33)*(ROW($H$5:$H$304)&lt;ROW(H33)))+1,"")</f>
        <v/>
      </c>
      <c r="N33" s="140">
        <f>IF(F33&lt;&gt;"",SUMPRODUCT(($F$5:$F$304=F33)*(ROW($F$5:$F$304)&lt;ROW(F33)))+1,"")</f>
        <v/>
      </c>
      <c r="O33" s="140">
        <f>IF(F33&lt;&gt;"",TEXT(F33,"yyyymmdd")&amp;"-"&amp;N33,"")</f>
        <v/>
      </c>
    </row>
    <row r="34" ht="15" customHeight="1" s="82">
      <c r="A34" s="83" t="n"/>
      <c r="B34" s="144">
        <f>IF(C34="","","POL-"&amp;TEXT(ROW()-4,"0000"))</f>
        <v/>
      </c>
      <c r="C34" s="144" t="inlineStr">
        <is>
          <t>Ruth Barasa</t>
        </is>
      </c>
      <c r="D34" s="144" t="inlineStr">
        <is>
          <t>Public Liability</t>
        </is>
      </c>
      <c r="E34" s="144" t="inlineStr">
        <is>
          <t>Public liability - construction site</t>
        </is>
      </c>
      <c r="F34" s="145" t="n">
        <v>46283</v>
      </c>
      <c r="G34" s="144" t="inlineStr">
        <is>
          <t>Not Renewed</t>
        </is>
      </c>
      <c r="H34" s="143">
        <f>IF(OR(G34="Renewed",G34=""),0,IF(TODAY()&gt;F34,TODAY()-F34,0))</f>
        <v/>
      </c>
      <c r="I34" s="144" t="n"/>
      <c r="J34" s="144" t="inlineStr">
        <is>
          <t>ruth.b29@example.com</t>
        </is>
      </c>
      <c r="K34" s="83" t="n"/>
      <c r="L34" s="140">
        <f>IF(AND(G34&lt;&gt;"Renewed",F34&lt;&gt;"",F34&gt;=TODAY()),SUMPRODUCT(($G$5:$G$304&lt;&gt;"Renewed")*($F$5:$F$304&lt;&gt;"")*($F$5:$F$304&gt;=TODAY())*($F$5:$F$304&lt;F34))+SUMPRODUCT(($G$5:$G$304&lt;&gt;"Renewed")*($F$5:$F$304=F34)*(ROW($F$5:$F$304)&lt;ROW(F34)))+1,"")</f>
        <v/>
      </c>
      <c r="M34" s="140">
        <f>IF(H34&gt;0,SUMPRODUCT(($H$5:$H$304&gt;H34))+SUMPRODUCT(($H$5:$H$304=H34)*(ROW($H$5:$H$304)&lt;ROW(H34)))+1,"")</f>
        <v/>
      </c>
      <c r="N34" s="140">
        <f>IF(F34&lt;&gt;"",SUMPRODUCT(($F$5:$F$304=F34)*(ROW($F$5:$F$304)&lt;ROW(F34)))+1,"")</f>
        <v/>
      </c>
      <c r="O34" s="140">
        <f>IF(F34&lt;&gt;"",TEXT(F34,"yyyymmdd")&amp;"-"&amp;N34,"")</f>
        <v/>
      </c>
    </row>
    <row r="35" ht="15" customHeight="1" s="82">
      <c r="A35" s="83" t="n"/>
      <c r="B35" s="146">
        <f>IF(C35="","","POL-"&amp;TEXT(ROW()-4,"0000"))</f>
        <v/>
      </c>
      <c r="C35" s="146" t="inlineStr">
        <is>
          <t>Amina Otieno</t>
        </is>
      </c>
      <c r="D35" s="146" t="inlineStr">
        <is>
          <t>Motor</t>
        </is>
      </c>
      <c r="E35" s="146" t="inlineStr">
        <is>
          <t>Commercial vehicle - Canter lorry KDA 794E</t>
        </is>
      </c>
      <c r="F35" s="147" t="n">
        <v>46367</v>
      </c>
      <c r="G35" s="146" t="inlineStr">
        <is>
          <t>Not Renewed</t>
        </is>
      </c>
      <c r="H35" s="139">
        <f>IF(OR(G35="Renewed",G35=""),0,IF(TODAY()&gt;F35,TODAY()-F35,0))</f>
        <v/>
      </c>
      <c r="I35" s="146" t="n"/>
      <c r="J35" s="146" t="inlineStr">
        <is>
          <t>amina.o30@example.com</t>
        </is>
      </c>
      <c r="K35" s="83" t="n"/>
      <c r="L35" s="140">
        <f>IF(AND(G35&lt;&gt;"Renewed",F35&lt;&gt;"",F35&gt;=TODAY()),SUMPRODUCT(($G$5:$G$304&lt;&gt;"Renewed")*($F$5:$F$304&lt;&gt;"")*($F$5:$F$304&gt;=TODAY())*($F$5:$F$304&lt;F35))+SUMPRODUCT(($G$5:$G$304&lt;&gt;"Renewed")*($F$5:$F$304=F35)*(ROW($F$5:$F$304)&lt;ROW(F35)))+1,"")</f>
        <v/>
      </c>
      <c r="M35" s="140">
        <f>IF(H35&gt;0,SUMPRODUCT(($H$5:$H$304&gt;H35))+SUMPRODUCT(($H$5:$H$304=H35)*(ROW($H$5:$H$304)&lt;ROW(H35)))+1,"")</f>
        <v/>
      </c>
      <c r="N35" s="140">
        <f>IF(F35&lt;&gt;"",SUMPRODUCT(($F$5:$F$304=F35)*(ROW($F$5:$F$304)&lt;ROW(F35)))+1,"")</f>
        <v/>
      </c>
      <c r="O35" s="140">
        <f>IF(F35&lt;&gt;"",TEXT(F35,"yyyymmdd")&amp;"-"&amp;N35,"")</f>
        <v/>
      </c>
    </row>
    <row r="36" ht="15" customHeight="1" s="82">
      <c r="A36" s="83" t="n"/>
      <c r="B36" s="144">
        <f>IF(C36="","","POL-"&amp;TEXT(ROW()-4,"0000"))</f>
        <v/>
      </c>
      <c r="C36" s="144" t="inlineStr">
        <is>
          <t>Abigail Wanjiru</t>
        </is>
      </c>
      <c r="D36" s="144" t="inlineStr">
        <is>
          <t>Public Liability</t>
        </is>
      </c>
      <c r="E36" s="144" t="inlineStr">
        <is>
          <t>Public liability - school premises</t>
        </is>
      </c>
      <c r="F36" s="145" t="n">
        <v>46316</v>
      </c>
      <c r="G36" s="144" t="inlineStr">
        <is>
          <t>Not Renewed</t>
        </is>
      </c>
      <c r="H36" s="143">
        <f>IF(OR(G36="Renewed",G36=""),0,IF(TODAY()&gt;F36,TODAY()-F36,0))</f>
        <v/>
      </c>
      <c r="I36" s="144" t="n"/>
      <c r="J36" s="144" t="inlineStr">
        <is>
          <t>abigail.w31@example.com</t>
        </is>
      </c>
      <c r="K36" s="83" t="n"/>
      <c r="L36" s="140">
        <f>IF(AND(G36&lt;&gt;"Renewed",F36&lt;&gt;"",F36&gt;=TODAY()),SUMPRODUCT(($G$5:$G$304&lt;&gt;"Renewed")*($F$5:$F$304&lt;&gt;"")*($F$5:$F$304&gt;=TODAY())*($F$5:$F$304&lt;F36))+SUMPRODUCT(($G$5:$G$304&lt;&gt;"Renewed")*($F$5:$F$304=F36)*(ROW($F$5:$F$304)&lt;ROW(F36)))+1,"")</f>
        <v/>
      </c>
      <c r="M36" s="140">
        <f>IF(H36&gt;0,SUMPRODUCT(($H$5:$H$304&gt;H36))+SUMPRODUCT(($H$5:$H$304=H36)*(ROW($H$5:$H$304)&lt;ROW(H36)))+1,"")</f>
        <v/>
      </c>
      <c r="N36" s="140">
        <f>IF(F36&lt;&gt;"",SUMPRODUCT(($F$5:$F$304=F36)*(ROW($F$5:$F$304)&lt;ROW(F36)))+1,"")</f>
        <v/>
      </c>
      <c r="O36" s="140">
        <f>IF(F36&lt;&gt;"",TEXT(F36,"yyyymmdd")&amp;"-"&amp;N36,"")</f>
        <v/>
      </c>
    </row>
    <row r="37" ht="15" customHeight="1" s="82">
      <c r="A37" s="83" t="n"/>
      <c r="B37" s="146">
        <f>IF(C37="","","POL-"&amp;TEXT(ROW()-4,"0000"))</f>
        <v/>
      </c>
      <c r="C37" s="146" t="inlineStr">
        <is>
          <t>Zuri Interiors</t>
        </is>
      </c>
      <c r="D37" s="146" t="inlineStr">
        <is>
          <t>Motor</t>
        </is>
      </c>
      <c r="E37" s="146" t="inlineStr">
        <is>
          <t>Comprehensive cover - Mazda Demio KDA 744B</t>
        </is>
      </c>
      <c r="F37" s="147" t="n">
        <v>46317</v>
      </c>
      <c r="G37" s="146" t="inlineStr">
        <is>
          <t>Not Renewed</t>
        </is>
      </c>
      <c r="H37" s="139">
        <f>IF(OR(G37="Renewed",G37=""),0,IF(TODAY()&gt;F37,TODAY()-F37,0))</f>
        <v/>
      </c>
      <c r="I37" s="146" t="n"/>
      <c r="J37" s="146" t="inlineStr">
        <is>
          <t>zuri.i32@example.com</t>
        </is>
      </c>
      <c r="K37" s="83" t="n"/>
      <c r="L37" s="140">
        <f>IF(AND(G37&lt;&gt;"Renewed",F37&lt;&gt;"",F37&gt;=TODAY()),SUMPRODUCT(($G$5:$G$304&lt;&gt;"Renewed")*($F$5:$F$304&lt;&gt;"")*($F$5:$F$304&gt;=TODAY())*($F$5:$F$304&lt;F37))+SUMPRODUCT(($G$5:$G$304&lt;&gt;"Renewed")*($F$5:$F$304=F37)*(ROW($F$5:$F$304)&lt;ROW(F37)))+1,"")</f>
        <v/>
      </c>
      <c r="M37" s="140">
        <f>IF(H37&gt;0,SUMPRODUCT(($H$5:$H$304&gt;H37))+SUMPRODUCT(($H$5:$H$304=H37)*(ROW($H$5:$H$304)&lt;ROW(H37)))+1,"")</f>
        <v/>
      </c>
      <c r="N37" s="140">
        <f>IF(F37&lt;&gt;"",SUMPRODUCT(($F$5:$F$304=F37)*(ROW($F$5:$F$304)&lt;ROW(F37)))+1,"")</f>
        <v/>
      </c>
      <c r="O37" s="140">
        <f>IF(F37&lt;&gt;"",TEXT(F37,"yyyymmdd")&amp;"-"&amp;N37,"")</f>
        <v/>
      </c>
    </row>
    <row r="38" ht="15" customHeight="1" s="82">
      <c r="A38" s="83" t="n"/>
      <c r="B38" s="144">
        <f>IF(C38="","","POL-"&amp;TEXT(ROW()-4,"0000"))</f>
        <v/>
      </c>
      <c r="C38" s="144" t="inlineStr">
        <is>
          <t>Wanjiku Muriuki</t>
        </is>
      </c>
      <c r="D38" s="144" t="inlineStr">
        <is>
          <t>Motor</t>
        </is>
      </c>
      <c r="E38" s="144" t="inlineStr">
        <is>
          <t>Comprehensive cover - Subaru Forester KDB 304H</t>
        </is>
      </c>
      <c r="F38" s="145" t="n">
        <v>46305</v>
      </c>
      <c r="G38" s="144" t="inlineStr">
        <is>
          <t>Not Renewed</t>
        </is>
      </c>
      <c r="H38" s="143">
        <f>IF(OR(G38="Renewed",G38=""),0,IF(TODAY()&gt;F38,TODAY()-F38,0))</f>
        <v/>
      </c>
      <c r="I38" s="144" t="n"/>
      <c r="J38" s="144" t="inlineStr">
        <is>
          <t>wanjiku.m33@example.com</t>
        </is>
      </c>
      <c r="K38" s="83" t="n"/>
      <c r="L38" s="140">
        <f>IF(AND(G38&lt;&gt;"Renewed",F38&lt;&gt;"",F38&gt;=TODAY()),SUMPRODUCT(($G$5:$G$304&lt;&gt;"Renewed")*($F$5:$F$304&lt;&gt;"")*($F$5:$F$304&gt;=TODAY())*($F$5:$F$304&lt;F38))+SUMPRODUCT(($G$5:$G$304&lt;&gt;"Renewed")*($F$5:$F$304=F38)*(ROW($F$5:$F$304)&lt;ROW(F38)))+1,"")</f>
        <v/>
      </c>
      <c r="M38" s="140">
        <f>IF(H38&gt;0,SUMPRODUCT(($H$5:$H$304&gt;H38))+SUMPRODUCT(($H$5:$H$304=H38)*(ROW($H$5:$H$304)&lt;ROW(H38)))+1,"")</f>
        <v/>
      </c>
      <c r="N38" s="140">
        <f>IF(F38&lt;&gt;"",SUMPRODUCT(($F$5:$F$304=F38)*(ROW($F$5:$F$304)&lt;ROW(F38)))+1,"")</f>
        <v/>
      </c>
      <c r="O38" s="140">
        <f>IF(F38&lt;&gt;"",TEXT(F38,"yyyymmdd")&amp;"-"&amp;N38,"")</f>
        <v/>
      </c>
    </row>
    <row r="39" ht="15" customHeight="1" s="82">
      <c r="A39" s="83" t="n"/>
      <c r="B39" s="146">
        <f>IF(C39="","","POL-"&amp;TEXT(ROW()-4,"0000"))</f>
        <v/>
      </c>
      <c r="C39" s="146" t="inlineStr">
        <is>
          <t>Achieng Barasa</t>
        </is>
      </c>
      <c r="D39" s="146" t="inlineStr">
        <is>
          <t>Fire</t>
        </is>
      </c>
      <c r="E39" s="146" t="inlineStr">
        <is>
          <t>Fire &amp; burglary - retail shop</t>
        </is>
      </c>
      <c r="F39" s="147" t="n">
        <v>46273</v>
      </c>
      <c r="G39" s="146" t="inlineStr">
        <is>
          <t>Not Renewed</t>
        </is>
      </c>
      <c r="H39" s="139">
        <f>IF(OR(G39="Renewed",G39=""),0,IF(TODAY()&gt;F39,TODAY()-F39,0))</f>
        <v/>
      </c>
      <c r="I39" s="146" t="inlineStr">
        <is>
          <t>Awaiting payment confirmation</t>
        </is>
      </c>
      <c r="J39" s="146" t="inlineStr">
        <is>
          <t>achieng.b34@example.com</t>
        </is>
      </c>
      <c r="K39" s="83" t="n"/>
      <c r="L39" s="140">
        <f>IF(AND(G39&lt;&gt;"Renewed",F39&lt;&gt;"",F39&gt;=TODAY()),SUMPRODUCT(($G$5:$G$304&lt;&gt;"Renewed")*($F$5:$F$304&lt;&gt;"")*($F$5:$F$304&gt;=TODAY())*($F$5:$F$304&lt;F39))+SUMPRODUCT(($G$5:$G$304&lt;&gt;"Renewed")*($F$5:$F$304=F39)*(ROW($F$5:$F$304)&lt;ROW(F39)))+1,"")</f>
        <v/>
      </c>
      <c r="M39" s="140">
        <f>IF(H39&gt;0,SUMPRODUCT(($H$5:$H$304&gt;H39))+SUMPRODUCT(($H$5:$H$304=H39)*(ROW($H$5:$H$304)&lt;ROW(H39)))+1,"")</f>
        <v/>
      </c>
      <c r="N39" s="140">
        <f>IF(F39&lt;&gt;"",SUMPRODUCT(($F$5:$F$304=F39)*(ROW($F$5:$F$304)&lt;ROW(F39)))+1,"")</f>
        <v/>
      </c>
      <c r="O39" s="140">
        <f>IF(F39&lt;&gt;"",TEXT(F39,"yyyymmdd")&amp;"-"&amp;N39,"")</f>
        <v/>
      </c>
    </row>
    <row r="40" ht="15" customHeight="1" s="82">
      <c r="A40" s="83" t="n"/>
      <c r="B40" s="144">
        <f>IF(C40="","","POL-"&amp;TEXT(ROW()-4,"0000"))</f>
        <v/>
      </c>
      <c r="C40" s="144" t="inlineStr">
        <is>
          <t>Achieng Muriuki</t>
        </is>
      </c>
      <c r="D40" s="144" t="inlineStr">
        <is>
          <t>Fire</t>
        </is>
      </c>
      <c r="E40" s="144" t="inlineStr">
        <is>
          <t>Fire &amp; burglary - warehouse</t>
        </is>
      </c>
      <c r="F40" s="145" t="n">
        <v>46347</v>
      </c>
      <c r="G40" s="144" t="inlineStr">
        <is>
          <t>Not Renewed</t>
        </is>
      </c>
      <c r="H40" s="143">
        <f>IF(OR(G40="Renewed",G40=""),0,IF(TODAY()&gt;F40,TODAY()-F40,0))</f>
        <v/>
      </c>
      <c r="I40" s="144" t="n"/>
      <c r="J40" s="144" t="inlineStr">
        <is>
          <t>achieng.m35@example.com</t>
        </is>
      </c>
      <c r="K40" s="83" t="n"/>
      <c r="L40" s="140">
        <f>IF(AND(G40&lt;&gt;"Renewed",F40&lt;&gt;"",F40&gt;=TODAY()),SUMPRODUCT(($G$5:$G$304&lt;&gt;"Renewed")*($F$5:$F$304&lt;&gt;"")*($F$5:$F$304&gt;=TODAY())*($F$5:$F$304&lt;F40))+SUMPRODUCT(($G$5:$G$304&lt;&gt;"Renewed")*($F$5:$F$304=F40)*(ROW($F$5:$F$304)&lt;ROW(F40)))+1,"")</f>
        <v/>
      </c>
      <c r="M40" s="140">
        <f>IF(H40&gt;0,SUMPRODUCT(($H$5:$H$304&gt;H40))+SUMPRODUCT(($H$5:$H$304=H40)*(ROW($H$5:$H$304)&lt;ROW(H40)))+1,"")</f>
        <v/>
      </c>
      <c r="N40" s="140">
        <f>IF(F40&lt;&gt;"",SUMPRODUCT(($F$5:$F$304=F40)*(ROW($F$5:$F$304)&lt;ROW(F40)))+1,"")</f>
        <v/>
      </c>
      <c r="O40" s="140">
        <f>IF(F40&lt;&gt;"",TEXT(F40,"yyyymmdd")&amp;"-"&amp;N40,"")</f>
        <v/>
      </c>
    </row>
    <row r="41" ht="15" customHeight="1" s="82">
      <c r="A41" s="83" t="n"/>
      <c r="B41" s="146">
        <f>IF(C41="","","POL-"&amp;TEXT(ROW()-4,"0000"))</f>
        <v/>
      </c>
      <c r="C41" s="146" t="inlineStr">
        <is>
          <t>Dennis Hassan</t>
        </is>
      </c>
      <c r="D41" s="146" t="inlineStr">
        <is>
          <t>Medical</t>
        </is>
      </c>
      <c r="E41" s="146" t="inlineStr">
        <is>
          <t>Family medical cover - Bronze Plan</t>
        </is>
      </c>
      <c r="F41" s="147" t="n">
        <v>46270</v>
      </c>
      <c r="G41" s="146" t="inlineStr">
        <is>
          <t>Renewed</t>
        </is>
      </c>
      <c r="H41" s="139">
        <f>IF(OR(G41="Renewed",G41=""),0,IF(TODAY()&gt;F41,TODAY()-F41,0))</f>
        <v/>
      </c>
      <c r="I41" s="146" t="inlineStr">
        <is>
          <t>Renewed via bank transfer</t>
        </is>
      </c>
      <c r="J41" s="146" t="inlineStr">
        <is>
          <t>dennis.h36@example.com</t>
        </is>
      </c>
      <c r="K41" s="83" t="n"/>
      <c r="L41" s="140">
        <f>IF(AND(G41&lt;&gt;"Renewed",F41&lt;&gt;"",F41&gt;=TODAY()),SUMPRODUCT(($G$5:$G$304&lt;&gt;"Renewed")*($F$5:$F$304&lt;&gt;"")*($F$5:$F$304&gt;=TODAY())*($F$5:$F$304&lt;F41))+SUMPRODUCT(($G$5:$G$304&lt;&gt;"Renewed")*($F$5:$F$304=F41)*(ROW($F$5:$F$304)&lt;ROW(F41)))+1,"")</f>
        <v/>
      </c>
      <c r="M41" s="140">
        <f>IF(H41&gt;0,SUMPRODUCT(($H$5:$H$304&gt;H41))+SUMPRODUCT(($H$5:$H$304=H41)*(ROW($H$5:$H$304)&lt;ROW(H41)))+1,"")</f>
        <v/>
      </c>
      <c r="N41" s="140">
        <f>IF(F41&lt;&gt;"",SUMPRODUCT(($F$5:$F$304=F41)*(ROW($F$5:$F$304)&lt;ROW(F41)))+1,"")</f>
        <v/>
      </c>
      <c r="O41" s="140">
        <f>IF(F41&lt;&gt;"",TEXT(F41,"yyyymmdd")&amp;"-"&amp;N41,"")</f>
        <v/>
      </c>
    </row>
    <row r="42" ht="15" customHeight="1" s="82">
      <c r="A42" s="83" t="n"/>
      <c r="B42" s="144">
        <f>IF(C42="","","POL-"&amp;TEXT(ROW()-4,"0000"))</f>
        <v/>
      </c>
      <c r="C42" s="144" t="inlineStr">
        <is>
          <t>Abigail Mbugua</t>
        </is>
      </c>
      <c r="D42" s="144" t="inlineStr">
        <is>
          <t>WIBA</t>
        </is>
      </c>
      <c r="E42" s="144" t="inlineStr">
        <is>
          <t>WIBA - 60 employees</t>
        </is>
      </c>
      <c r="F42" s="145" t="n">
        <v>46286</v>
      </c>
      <c r="G42" s="144" t="inlineStr">
        <is>
          <t>Not Renewed</t>
        </is>
      </c>
      <c r="H42" s="143">
        <f>IF(OR(G42="Renewed",G42=""),0,IF(TODAY()&gt;F42,TODAY()-F42,0))</f>
        <v/>
      </c>
      <c r="I42" s="144" t="inlineStr">
        <is>
          <t>Client requested revised quote</t>
        </is>
      </c>
      <c r="J42" s="144" t="inlineStr">
        <is>
          <t>abigail.m37@example.com</t>
        </is>
      </c>
      <c r="K42" s="83" t="n"/>
      <c r="L42" s="140">
        <f>IF(AND(G42&lt;&gt;"Renewed",F42&lt;&gt;"",F42&gt;=TODAY()),SUMPRODUCT(($G$5:$G$304&lt;&gt;"Renewed")*($F$5:$F$304&lt;&gt;"")*($F$5:$F$304&gt;=TODAY())*($F$5:$F$304&lt;F42))+SUMPRODUCT(($G$5:$G$304&lt;&gt;"Renewed")*($F$5:$F$304=F42)*(ROW($F$5:$F$304)&lt;ROW(F42)))+1,"")</f>
        <v/>
      </c>
      <c r="M42" s="140">
        <f>IF(H42&gt;0,SUMPRODUCT(($H$5:$H$304&gt;H42))+SUMPRODUCT(($H$5:$H$304=H42)*(ROW($H$5:$H$304)&lt;ROW(H42)))+1,"")</f>
        <v/>
      </c>
      <c r="N42" s="140">
        <f>IF(F42&lt;&gt;"",SUMPRODUCT(($F$5:$F$304=F42)*(ROW($F$5:$F$304)&lt;ROW(F42)))+1,"")</f>
        <v/>
      </c>
      <c r="O42" s="140">
        <f>IF(F42&lt;&gt;"",TEXT(F42,"yyyymmdd")&amp;"-"&amp;N42,"")</f>
        <v/>
      </c>
    </row>
    <row r="43" ht="15" customHeight="1" s="82">
      <c r="A43" s="83" t="n"/>
      <c r="B43" s="146">
        <f>IF(C43="","","POL-"&amp;TEXT(ROW()-4,"0000"))</f>
        <v/>
      </c>
      <c r="C43" s="146" t="inlineStr">
        <is>
          <t>Mercy Kiprop</t>
        </is>
      </c>
      <c r="D43" s="146" t="inlineStr">
        <is>
          <t>Public Liability</t>
        </is>
      </c>
      <c r="E43" s="146" t="inlineStr">
        <is>
          <t>Public liability - restaurant</t>
        </is>
      </c>
      <c r="F43" s="147" t="n">
        <v>46350</v>
      </c>
      <c r="G43" s="146" t="inlineStr">
        <is>
          <t>Not Renewed</t>
        </is>
      </c>
      <c r="H43" s="139">
        <f>IF(OR(G43="Renewed",G43=""),0,IF(TODAY()&gt;F43,TODAY()-F43,0))</f>
        <v/>
      </c>
      <c r="I43" s="146" t="n"/>
      <c r="J43" s="146" t="inlineStr">
        <is>
          <t>mercy.k38@example.com</t>
        </is>
      </c>
      <c r="K43" s="83" t="n"/>
      <c r="L43" s="140">
        <f>IF(AND(G43&lt;&gt;"Renewed",F43&lt;&gt;"",F43&gt;=TODAY()),SUMPRODUCT(($G$5:$G$304&lt;&gt;"Renewed")*($F$5:$F$304&lt;&gt;"")*($F$5:$F$304&gt;=TODAY())*($F$5:$F$304&lt;F43))+SUMPRODUCT(($G$5:$G$304&lt;&gt;"Renewed")*($F$5:$F$304=F43)*(ROW($F$5:$F$304)&lt;ROW(F43)))+1,"")</f>
        <v/>
      </c>
      <c r="M43" s="140">
        <f>IF(H43&gt;0,SUMPRODUCT(($H$5:$H$304&gt;H43))+SUMPRODUCT(($H$5:$H$304=H43)*(ROW($H$5:$H$304)&lt;ROW(H43)))+1,"")</f>
        <v/>
      </c>
      <c r="N43" s="140">
        <f>IF(F43&lt;&gt;"",SUMPRODUCT(($F$5:$F$304=F43)*(ROW($F$5:$F$304)&lt;ROW(F43)))+1,"")</f>
        <v/>
      </c>
      <c r="O43" s="140">
        <f>IF(F43&lt;&gt;"",TEXT(F43,"yyyymmdd")&amp;"-"&amp;N43,"")</f>
        <v/>
      </c>
    </row>
    <row r="44" ht="15" customHeight="1" s="82">
      <c r="A44" s="83" t="n"/>
      <c r="B44" s="144">
        <f>IF(C44="","","POL-"&amp;TEXT(ROW()-4,"0000"))</f>
        <v/>
      </c>
      <c r="C44" s="144" t="inlineStr">
        <is>
          <t>Amina Odhiambo</t>
        </is>
      </c>
      <c r="D44" s="144" t="inlineStr">
        <is>
          <t>Fire</t>
        </is>
      </c>
      <c r="E44" s="144" t="inlineStr">
        <is>
          <t>Fire &amp; perils - office block</t>
        </is>
      </c>
      <c r="F44" s="145" t="n">
        <v>46346</v>
      </c>
      <c r="G44" s="144" t="inlineStr">
        <is>
          <t>Not Renewed</t>
        </is>
      </c>
      <c r="H44" s="143">
        <f>IF(OR(G44="Renewed",G44=""),0,IF(TODAY()&gt;F44,TODAY()-F44,0))</f>
        <v/>
      </c>
      <c r="I44" s="144" t="n"/>
      <c r="J44" s="144" t="inlineStr">
        <is>
          <t>amina.o39@example.com</t>
        </is>
      </c>
      <c r="K44" s="83" t="n"/>
      <c r="L44" s="140">
        <f>IF(AND(G44&lt;&gt;"Renewed",F44&lt;&gt;"",F44&gt;=TODAY()),SUMPRODUCT(($G$5:$G$304&lt;&gt;"Renewed")*($F$5:$F$304&lt;&gt;"")*($F$5:$F$304&gt;=TODAY())*($F$5:$F$304&lt;F44))+SUMPRODUCT(($G$5:$G$304&lt;&gt;"Renewed")*($F$5:$F$304=F44)*(ROW($F$5:$F$304)&lt;ROW(F44)))+1,"")</f>
        <v/>
      </c>
      <c r="M44" s="140">
        <f>IF(H44&gt;0,SUMPRODUCT(($H$5:$H$304&gt;H44))+SUMPRODUCT(($H$5:$H$304=H44)*(ROW($H$5:$H$304)&lt;ROW(H44)))+1,"")</f>
        <v/>
      </c>
      <c r="N44" s="140">
        <f>IF(F44&lt;&gt;"",SUMPRODUCT(($F$5:$F$304=F44)*(ROW($F$5:$F$304)&lt;ROW(F44)))+1,"")</f>
        <v/>
      </c>
      <c r="O44" s="140">
        <f>IF(F44&lt;&gt;"",TEXT(F44,"yyyymmdd")&amp;"-"&amp;N44,"")</f>
        <v/>
      </c>
    </row>
    <row r="45" ht="15" customHeight="1" s="82">
      <c r="A45" s="83" t="n"/>
      <c r="B45" s="146">
        <f>IF(C45="","","POL-"&amp;TEXT(ROW()-4,"0000"))</f>
        <v/>
      </c>
      <c r="C45" s="146" t="inlineStr">
        <is>
          <t>Samuel Ndung'u</t>
        </is>
      </c>
      <c r="D45" s="146" t="inlineStr">
        <is>
          <t>Medical</t>
        </is>
      </c>
      <c r="E45" s="146" t="inlineStr">
        <is>
          <t>Family medical cover - Bronze Plan</t>
        </is>
      </c>
      <c r="F45" s="147" t="n">
        <v>46260</v>
      </c>
      <c r="G45" s="146" t="inlineStr">
        <is>
          <t>Renewed</t>
        </is>
      </c>
      <c r="H45" s="139">
        <f>IF(OR(G45="Renewed",G45=""),0,IF(TODAY()&gt;F45,TODAY()-F45,0))</f>
        <v/>
      </c>
      <c r="I45" s="146" t="inlineStr">
        <is>
          <t>Renewed, certificate sent</t>
        </is>
      </c>
      <c r="J45" s="146" t="inlineStr">
        <is>
          <t>samuel.n40@example.com</t>
        </is>
      </c>
      <c r="K45" s="83" t="n"/>
      <c r="L45" s="140">
        <f>IF(AND(G45&lt;&gt;"Renewed",F45&lt;&gt;"",F45&gt;=TODAY()),SUMPRODUCT(($G$5:$G$304&lt;&gt;"Renewed")*($F$5:$F$304&lt;&gt;"")*($F$5:$F$304&gt;=TODAY())*($F$5:$F$304&lt;F45))+SUMPRODUCT(($G$5:$G$304&lt;&gt;"Renewed")*($F$5:$F$304=F45)*(ROW($F$5:$F$304)&lt;ROW(F45)))+1,"")</f>
        <v/>
      </c>
      <c r="M45" s="140">
        <f>IF(H45&gt;0,SUMPRODUCT(($H$5:$H$304&gt;H45))+SUMPRODUCT(($H$5:$H$304=H45)*(ROW($H$5:$H$304)&lt;ROW(H45)))+1,"")</f>
        <v/>
      </c>
      <c r="N45" s="140">
        <f>IF(F45&lt;&gt;"",SUMPRODUCT(($F$5:$F$304=F45)*(ROW($F$5:$F$304)&lt;ROW(F45)))+1,"")</f>
        <v/>
      </c>
      <c r="O45" s="140">
        <f>IF(F45&lt;&gt;"",TEXT(F45,"yyyymmdd")&amp;"-"&amp;N45,"")</f>
        <v/>
      </c>
    </row>
    <row r="46" ht="15" customHeight="1" s="82">
      <c r="A46" s="83" t="n"/>
      <c r="B46" s="144">
        <f>IF(C46="","","POL-"&amp;TEXT(ROW()-4,"0000"))</f>
        <v/>
      </c>
      <c r="C46" s="144" t="inlineStr">
        <is>
          <t>Grace Akinyi</t>
        </is>
      </c>
      <c r="D46" s="144" t="inlineStr">
        <is>
          <t>WIBA</t>
        </is>
      </c>
      <c r="E46" s="144" t="inlineStr">
        <is>
          <t>WIBA - 25 employees</t>
        </is>
      </c>
      <c r="F46" s="145" t="n">
        <v>46339</v>
      </c>
      <c r="G46" s="144" t="inlineStr">
        <is>
          <t>Not Renewed</t>
        </is>
      </c>
      <c r="H46" s="143">
        <f>IF(OR(G46="Renewed",G46=""),0,IF(TODAY()&gt;F46,TODAY()-F46,0))</f>
        <v/>
      </c>
      <c r="I46" s="144" t="n"/>
      <c r="J46" s="144" t="inlineStr">
        <is>
          <t>grace.a41@example.com</t>
        </is>
      </c>
      <c r="K46" s="83" t="n"/>
      <c r="L46" s="140">
        <f>IF(AND(G46&lt;&gt;"Renewed",F46&lt;&gt;"",F46&gt;=TODAY()),SUMPRODUCT(($G$5:$G$304&lt;&gt;"Renewed")*($F$5:$F$304&lt;&gt;"")*($F$5:$F$304&gt;=TODAY())*($F$5:$F$304&lt;F46))+SUMPRODUCT(($G$5:$G$304&lt;&gt;"Renewed")*($F$5:$F$304=F46)*(ROW($F$5:$F$304)&lt;ROW(F46)))+1,"")</f>
        <v/>
      </c>
      <c r="M46" s="140">
        <f>IF(H46&gt;0,SUMPRODUCT(($H$5:$H$304&gt;H46))+SUMPRODUCT(($H$5:$H$304=H46)*(ROW($H$5:$H$304)&lt;ROW(H46)))+1,"")</f>
        <v/>
      </c>
      <c r="N46" s="140">
        <f>IF(F46&lt;&gt;"",SUMPRODUCT(($F$5:$F$304=F46)*(ROW($F$5:$F$304)&lt;ROW(F46)))+1,"")</f>
        <v/>
      </c>
      <c r="O46" s="140">
        <f>IF(F46&lt;&gt;"",TEXT(F46,"yyyymmdd")&amp;"-"&amp;N46,"")</f>
        <v/>
      </c>
    </row>
    <row r="47" ht="15" customHeight="1" s="82">
      <c r="A47" s="83" t="n"/>
      <c r="B47" s="146">
        <f>IF(C47="","","POL-"&amp;TEXT(ROW()-4,"0000"))</f>
        <v/>
      </c>
      <c r="C47" s="146" t="inlineStr">
        <is>
          <t>Highland Tea Traders</t>
        </is>
      </c>
      <c r="D47" s="146" t="inlineStr">
        <is>
          <t>Medical</t>
        </is>
      </c>
      <c r="E47" s="146" t="inlineStr">
        <is>
          <t>Individual medical cover - Gold Plan</t>
        </is>
      </c>
      <c r="F47" s="147" t="n">
        <v>46330</v>
      </c>
      <c r="G47" s="146" t="inlineStr">
        <is>
          <t>Not Renewed</t>
        </is>
      </c>
      <c r="H47" s="139">
        <f>IF(OR(G47="Renewed",G47=""),0,IF(TODAY()&gt;F47,TODAY()-F47,0))</f>
        <v/>
      </c>
      <c r="I47" s="146" t="n"/>
      <c r="J47" s="146" t="inlineStr">
        <is>
          <t>highland.t42@example.com</t>
        </is>
      </c>
      <c r="K47" s="83" t="n"/>
      <c r="L47" s="140">
        <f>IF(AND(G47&lt;&gt;"Renewed",F47&lt;&gt;"",F47&gt;=TODAY()),SUMPRODUCT(($G$5:$G$304&lt;&gt;"Renewed")*($F$5:$F$304&lt;&gt;"")*($F$5:$F$304&gt;=TODAY())*($F$5:$F$304&lt;F47))+SUMPRODUCT(($G$5:$G$304&lt;&gt;"Renewed")*($F$5:$F$304=F47)*(ROW($F$5:$F$304)&lt;ROW(F47)))+1,"")</f>
        <v/>
      </c>
      <c r="M47" s="140">
        <f>IF(H47&gt;0,SUMPRODUCT(($H$5:$H$304&gt;H47))+SUMPRODUCT(($H$5:$H$304=H47)*(ROW($H$5:$H$304)&lt;ROW(H47)))+1,"")</f>
        <v/>
      </c>
      <c r="N47" s="140">
        <f>IF(F47&lt;&gt;"",SUMPRODUCT(($F$5:$F$304=F47)*(ROW($F$5:$F$304)&lt;ROW(F47)))+1,"")</f>
        <v/>
      </c>
      <c r="O47" s="140">
        <f>IF(F47&lt;&gt;"",TEXT(F47,"yyyymmdd")&amp;"-"&amp;N47,"")</f>
        <v/>
      </c>
    </row>
    <row r="48" ht="15" customHeight="1" s="82">
      <c r="A48" s="83" t="n"/>
      <c r="B48" s="144">
        <f>IF(C48="","","POL-"&amp;TEXT(ROW()-4,"0000"))</f>
        <v/>
      </c>
      <c r="C48" s="144" t="inlineStr">
        <is>
          <t>Mwangi Mbugua</t>
        </is>
      </c>
      <c r="D48" s="144" t="inlineStr">
        <is>
          <t>WIBA</t>
        </is>
      </c>
      <c r="E48" s="144" t="inlineStr">
        <is>
          <t>WIBA - 15 employees</t>
        </is>
      </c>
      <c r="F48" s="145" t="n">
        <v>46301</v>
      </c>
      <c r="G48" s="144" t="inlineStr">
        <is>
          <t>Not Renewed</t>
        </is>
      </c>
      <c r="H48" s="143">
        <f>IF(OR(G48="Renewed",G48=""),0,IF(TODAY()&gt;F48,TODAY()-F48,0))</f>
        <v/>
      </c>
      <c r="I48" s="144" t="n"/>
      <c r="J48" s="144" t="inlineStr">
        <is>
          <t>mwangi.m43@example.com</t>
        </is>
      </c>
      <c r="K48" s="83" t="n"/>
      <c r="L48" s="140">
        <f>IF(AND(G48&lt;&gt;"Renewed",F48&lt;&gt;"",F48&gt;=TODAY()),SUMPRODUCT(($G$5:$G$304&lt;&gt;"Renewed")*($F$5:$F$304&lt;&gt;"")*($F$5:$F$304&gt;=TODAY())*($F$5:$F$304&lt;F48))+SUMPRODUCT(($G$5:$G$304&lt;&gt;"Renewed")*($F$5:$F$304=F48)*(ROW($F$5:$F$304)&lt;ROW(F48)))+1,"")</f>
        <v/>
      </c>
      <c r="M48" s="140">
        <f>IF(H48&gt;0,SUMPRODUCT(($H$5:$H$304&gt;H48))+SUMPRODUCT(($H$5:$H$304=H48)*(ROW($H$5:$H$304)&lt;ROW(H48)))+1,"")</f>
        <v/>
      </c>
      <c r="N48" s="140">
        <f>IF(F48&lt;&gt;"",SUMPRODUCT(($F$5:$F$304=F48)*(ROW($F$5:$F$304)&lt;ROW(F48)))+1,"")</f>
        <v/>
      </c>
      <c r="O48" s="140">
        <f>IF(F48&lt;&gt;"",TEXT(F48,"yyyymmdd")&amp;"-"&amp;N48,"")</f>
        <v/>
      </c>
    </row>
    <row r="49" ht="15" customHeight="1" s="82">
      <c r="A49" s="83" t="n"/>
      <c r="B49" s="146">
        <f>IF(C49="","","POL-"&amp;TEXT(ROW()-4,"0000"))</f>
        <v/>
      </c>
      <c r="C49" s="146" t="inlineStr">
        <is>
          <t>Collins Omondi</t>
        </is>
      </c>
      <c r="D49" s="146" t="inlineStr">
        <is>
          <t>Public Liability</t>
        </is>
      </c>
      <c r="E49" s="146" t="inlineStr">
        <is>
          <t>Public liability - restaurant</t>
        </is>
      </c>
      <c r="F49" s="147" t="n">
        <v>46286</v>
      </c>
      <c r="G49" s="146" t="inlineStr">
        <is>
          <t>Not Renewed</t>
        </is>
      </c>
      <c r="H49" s="139">
        <f>IF(OR(G49="Renewed",G49=""),0,IF(TODAY()&gt;F49,TODAY()-F49,0))</f>
        <v/>
      </c>
      <c r="I49" s="146" t="inlineStr">
        <is>
          <t>Awaiting payment confirmation</t>
        </is>
      </c>
      <c r="J49" s="146" t="inlineStr">
        <is>
          <t>collins.o44@example.com</t>
        </is>
      </c>
      <c r="K49" s="83" t="n"/>
      <c r="L49" s="140">
        <f>IF(AND(G49&lt;&gt;"Renewed",F49&lt;&gt;"",F49&gt;=TODAY()),SUMPRODUCT(($G$5:$G$304&lt;&gt;"Renewed")*($F$5:$F$304&lt;&gt;"")*($F$5:$F$304&gt;=TODAY())*($F$5:$F$304&lt;F49))+SUMPRODUCT(($G$5:$G$304&lt;&gt;"Renewed")*($F$5:$F$304=F49)*(ROW($F$5:$F$304)&lt;ROW(F49)))+1,"")</f>
        <v/>
      </c>
      <c r="M49" s="140">
        <f>IF(H49&gt;0,SUMPRODUCT(($H$5:$H$304&gt;H49))+SUMPRODUCT(($H$5:$H$304=H49)*(ROW($H$5:$H$304)&lt;ROW(H49)))+1,"")</f>
        <v/>
      </c>
      <c r="N49" s="140">
        <f>IF(F49&lt;&gt;"",SUMPRODUCT(($F$5:$F$304=F49)*(ROW($F$5:$F$304)&lt;ROW(F49)))+1,"")</f>
        <v/>
      </c>
      <c r="O49" s="140">
        <f>IF(F49&lt;&gt;"",TEXT(F49,"yyyymmdd")&amp;"-"&amp;N49,"")</f>
        <v/>
      </c>
    </row>
    <row r="50" ht="15" customHeight="1" s="82">
      <c r="A50" s="83" t="n"/>
      <c r="B50" s="144">
        <f>IF(C50="","","POL-"&amp;TEXT(ROW()-4,"0000"))</f>
        <v/>
      </c>
      <c r="C50" s="144" t="inlineStr">
        <is>
          <t>Martin Odhiambo</t>
        </is>
      </c>
      <c r="D50" s="144" t="inlineStr">
        <is>
          <t>WIBA</t>
        </is>
      </c>
      <c r="E50" s="144" t="inlineStr">
        <is>
          <t>WIBA - 8 employees</t>
        </is>
      </c>
      <c r="F50" s="145" t="n">
        <v>46313</v>
      </c>
      <c r="G50" s="144" t="inlineStr">
        <is>
          <t>Not Renewed</t>
        </is>
      </c>
      <c r="H50" s="143">
        <f>IF(OR(G50="Renewed",G50=""),0,IF(TODAY()&gt;F50,TODAY()-F50,0))</f>
        <v/>
      </c>
      <c r="I50" s="144" t="n"/>
      <c r="J50" s="144" t="inlineStr">
        <is>
          <t>martin.o45@example.com</t>
        </is>
      </c>
      <c r="K50" s="83" t="n"/>
      <c r="L50" s="140">
        <f>IF(AND(G50&lt;&gt;"Renewed",F50&lt;&gt;"",F50&gt;=TODAY()),SUMPRODUCT(($G$5:$G$304&lt;&gt;"Renewed")*($F$5:$F$304&lt;&gt;"")*($F$5:$F$304&gt;=TODAY())*($F$5:$F$304&lt;F50))+SUMPRODUCT(($G$5:$G$304&lt;&gt;"Renewed")*($F$5:$F$304=F50)*(ROW($F$5:$F$304)&lt;ROW(F50)))+1,"")</f>
        <v/>
      </c>
      <c r="M50" s="140">
        <f>IF(H50&gt;0,SUMPRODUCT(($H$5:$H$304&gt;H50))+SUMPRODUCT(($H$5:$H$304=H50)*(ROW($H$5:$H$304)&lt;ROW(H50)))+1,"")</f>
        <v/>
      </c>
      <c r="N50" s="140">
        <f>IF(F50&lt;&gt;"",SUMPRODUCT(($F$5:$F$304=F50)*(ROW($F$5:$F$304)&lt;ROW(F50)))+1,"")</f>
        <v/>
      </c>
      <c r="O50" s="140">
        <f>IF(F50&lt;&gt;"",TEXT(F50,"yyyymmdd")&amp;"-"&amp;N50,"")</f>
        <v/>
      </c>
    </row>
    <row r="51" ht="15" customHeight="1" s="82">
      <c r="A51" s="83" t="n"/>
      <c r="B51" s="146">
        <f>IF(C51="","","POL-"&amp;TEXT(ROW()-4,"0000"))</f>
        <v/>
      </c>
      <c r="C51" s="146" t="inlineStr">
        <is>
          <t>Martin Chepkoech</t>
        </is>
      </c>
      <c r="D51" s="146" t="inlineStr">
        <is>
          <t>Motor</t>
        </is>
      </c>
      <c r="E51" s="146" t="inlineStr">
        <is>
          <t>Comprehensive cover - Subaru Forester KCZ 965K</t>
        </is>
      </c>
      <c r="F51" s="147" t="n">
        <v>46276</v>
      </c>
      <c r="G51" s="146" t="inlineStr">
        <is>
          <t>Not Renewed</t>
        </is>
      </c>
      <c r="H51" s="139">
        <f>IF(OR(G51="Renewed",G51=""),0,IF(TODAY()&gt;F51,TODAY()-F51,0))</f>
        <v/>
      </c>
      <c r="I51" s="146" t="inlineStr">
        <is>
          <t>Awaiting payment confirmation</t>
        </is>
      </c>
      <c r="J51" s="146" t="inlineStr">
        <is>
          <t>martin.c46@example.com</t>
        </is>
      </c>
      <c r="K51" s="83" t="n"/>
      <c r="L51" s="140">
        <f>IF(AND(G51&lt;&gt;"Renewed",F51&lt;&gt;"",F51&gt;=TODAY()),SUMPRODUCT(($G$5:$G$304&lt;&gt;"Renewed")*($F$5:$F$304&lt;&gt;"")*($F$5:$F$304&gt;=TODAY())*($F$5:$F$304&lt;F51))+SUMPRODUCT(($G$5:$G$304&lt;&gt;"Renewed")*($F$5:$F$304=F51)*(ROW($F$5:$F$304)&lt;ROW(F51)))+1,"")</f>
        <v/>
      </c>
      <c r="M51" s="140">
        <f>IF(H51&gt;0,SUMPRODUCT(($H$5:$H$304&gt;H51))+SUMPRODUCT(($H$5:$H$304=H51)*(ROW($H$5:$H$304)&lt;ROW(H51)))+1,"")</f>
        <v/>
      </c>
      <c r="N51" s="140">
        <f>IF(F51&lt;&gt;"",SUMPRODUCT(($F$5:$F$304=F51)*(ROW($F$5:$F$304)&lt;ROW(F51)))+1,"")</f>
        <v/>
      </c>
      <c r="O51" s="140">
        <f>IF(F51&lt;&gt;"",TEXT(F51,"yyyymmdd")&amp;"-"&amp;N51,"")</f>
        <v/>
      </c>
    </row>
    <row r="52" ht="15" customHeight="1" s="82">
      <c r="A52" s="83" t="n"/>
      <c r="B52" s="144">
        <f>IF(C52="","","POL-"&amp;TEXT(ROW()-4,"0000"))</f>
        <v/>
      </c>
      <c r="C52" s="144" t="inlineStr">
        <is>
          <t>Faith Kariuki</t>
        </is>
      </c>
      <c r="D52" s="144" t="inlineStr">
        <is>
          <t>Fire</t>
        </is>
      </c>
      <c r="E52" s="144" t="inlineStr">
        <is>
          <t>Fire &amp; perils - office block</t>
        </is>
      </c>
      <c r="F52" s="145" t="n">
        <v>46273</v>
      </c>
      <c r="G52" s="144" t="inlineStr">
        <is>
          <t>Not Renewed</t>
        </is>
      </c>
      <c r="H52" s="143">
        <f>IF(OR(G52="Renewed",G52=""),0,IF(TODAY()&gt;F52,TODAY()-F52,0))</f>
        <v/>
      </c>
      <c r="I52" s="144" t="n"/>
      <c r="J52" s="144" t="inlineStr">
        <is>
          <t>faith.k47@example.com</t>
        </is>
      </c>
      <c r="K52" s="83" t="n"/>
      <c r="L52" s="140">
        <f>IF(AND(G52&lt;&gt;"Renewed",F52&lt;&gt;"",F52&gt;=TODAY()),SUMPRODUCT(($G$5:$G$304&lt;&gt;"Renewed")*($F$5:$F$304&lt;&gt;"")*($F$5:$F$304&gt;=TODAY())*($F$5:$F$304&lt;F52))+SUMPRODUCT(($G$5:$G$304&lt;&gt;"Renewed")*($F$5:$F$304=F52)*(ROW($F$5:$F$304)&lt;ROW(F52)))+1,"")</f>
        <v/>
      </c>
      <c r="M52" s="140">
        <f>IF(H52&gt;0,SUMPRODUCT(($H$5:$H$304&gt;H52))+SUMPRODUCT(($H$5:$H$304=H52)*(ROW($H$5:$H$304)&lt;ROW(H52)))+1,"")</f>
        <v/>
      </c>
      <c r="N52" s="140">
        <f>IF(F52&lt;&gt;"",SUMPRODUCT(($F$5:$F$304=F52)*(ROW($F$5:$F$304)&lt;ROW(F52)))+1,"")</f>
        <v/>
      </c>
      <c r="O52" s="140">
        <f>IF(F52&lt;&gt;"",TEXT(F52,"yyyymmdd")&amp;"-"&amp;N52,"")</f>
        <v/>
      </c>
    </row>
    <row r="53" ht="15" customHeight="1" s="82">
      <c r="A53" s="83" t="n"/>
      <c r="B53" s="146">
        <f>IF(C53="","","POL-"&amp;TEXT(ROW()-4,"0000"))</f>
        <v/>
      </c>
      <c r="C53" s="146" t="inlineStr">
        <is>
          <t>Victor Kariuki</t>
        </is>
      </c>
      <c r="D53" s="146" t="inlineStr">
        <is>
          <t>Motor</t>
        </is>
      </c>
      <c r="E53" s="146" t="inlineStr">
        <is>
          <t>Commercial vehicle - Canter lorry KDA 719G</t>
        </is>
      </c>
      <c r="F53" s="147" t="n">
        <v>46272</v>
      </c>
      <c r="G53" s="146" t="inlineStr">
        <is>
          <t>Renewed</t>
        </is>
      </c>
      <c r="H53" s="139">
        <f>IF(OR(G53="Renewed",G53=""),0,IF(TODAY()&gt;F53,TODAY()-F53,0))</f>
        <v/>
      </c>
      <c r="I53" s="146" t="inlineStr">
        <is>
          <t>Renewed via M-Pesa</t>
        </is>
      </c>
      <c r="J53" s="146" t="inlineStr">
        <is>
          <t>victor.k48@example.com</t>
        </is>
      </c>
      <c r="K53" s="83" t="n"/>
      <c r="L53" s="140">
        <f>IF(AND(G53&lt;&gt;"Renewed",F53&lt;&gt;"",F53&gt;=TODAY()),SUMPRODUCT(($G$5:$G$304&lt;&gt;"Renewed")*($F$5:$F$304&lt;&gt;"")*($F$5:$F$304&gt;=TODAY())*($F$5:$F$304&lt;F53))+SUMPRODUCT(($G$5:$G$304&lt;&gt;"Renewed")*($F$5:$F$304=F53)*(ROW($F$5:$F$304)&lt;ROW(F53)))+1,"")</f>
        <v/>
      </c>
      <c r="M53" s="140">
        <f>IF(H53&gt;0,SUMPRODUCT(($H$5:$H$304&gt;H53))+SUMPRODUCT(($H$5:$H$304=H53)*(ROW($H$5:$H$304)&lt;ROW(H53)))+1,"")</f>
        <v/>
      </c>
      <c r="N53" s="140">
        <f>IF(F53&lt;&gt;"",SUMPRODUCT(($F$5:$F$304=F53)*(ROW($F$5:$F$304)&lt;ROW(F53)))+1,"")</f>
        <v/>
      </c>
      <c r="O53" s="140">
        <f>IF(F53&lt;&gt;"",TEXT(F53,"yyyymmdd")&amp;"-"&amp;N53,"")</f>
        <v/>
      </c>
    </row>
    <row r="54" ht="15" customHeight="1" s="82">
      <c r="A54" s="83" t="n"/>
      <c r="B54" s="144">
        <f>IF(C54="","","POL-"&amp;TEXT(ROW()-4,"0000"))</f>
        <v/>
      </c>
      <c r="C54" s="144" t="inlineStr">
        <is>
          <t>Samuel Mbugua</t>
        </is>
      </c>
      <c r="D54" s="144" t="inlineStr">
        <is>
          <t>Medical</t>
        </is>
      </c>
      <c r="E54" s="144" t="inlineStr">
        <is>
          <t>Family medical cover - Silver Plan</t>
        </is>
      </c>
      <c r="F54" s="145" t="n">
        <v>46314</v>
      </c>
      <c r="G54" s="144" t="inlineStr">
        <is>
          <t>Not Renewed</t>
        </is>
      </c>
      <c r="H54" s="143">
        <f>IF(OR(G54="Renewed",G54=""),0,IF(TODAY()&gt;F54,TODAY()-F54,0))</f>
        <v/>
      </c>
      <c r="I54" s="144" t="n"/>
      <c r="J54" s="144" t="inlineStr">
        <is>
          <t>samuel.m49@example.com</t>
        </is>
      </c>
      <c r="K54" s="83" t="n"/>
      <c r="L54" s="140">
        <f>IF(AND(G54&lt;&gt;"Renewed",F54&lt;&gt;"",F54&gt;=TODAY()),SUMPRODUCT(($G$5:$G$304&lt;&gt;"Renewed")*($F$5:$F$304&lt;&gt;"")*($F$5:$F$304&gt;=TODAY())*($F$5:$F$304&lt;F54))+SUMPRODUCT(($G$5:$G$304&lt;&gt;"Renewed")*($F$5:$F$304=F54)*(ROW($F$5:$F$304)&lt;ROW(F54)))+1,"")</f>
        <v/>
      </c>
      <c r="M54" s="140">
        <f>IF(H54&gt;0,SUMPRODUCT(($H$5:$H$304&gt;H54))+SUMPRODUCT(($H$5:$H$304=H54)*(ROW($H$5:$H$304)&lt;ROW(H54)))+1,"")</f>
        <v/>
      </c>
      <c r="N54" s="140">
        <f>IF(F54&lt;&gt;"",SUMPRODUCT(($F$5:$F$304=F54)*(ROW($F$5:$F$304)&lt;ROW(F54)))+1,"")</f>
        <v/>
      </c>
      <c r="O54" s="140">
        <f>IF(F54&lt;&gt;"",TEXT(F54,"yyyymmdd")&amp;"-"&amp;N54,"")</f>
        <v/>
      </c>
    </row>
    <row r="55" ht="15" customHeight="1" s="82">
      <c r="A55" s="83" t="n"/>
      <c r="B55" s="146">
        <f>IF(C55="","","POL-"&amp;TEXT(ROW()-4,"0000"))</f>
        <v/>
      </c>
      <c r="C55" s="146" t="inlineStr">
        <is>
          <t>Amina Kariuki</t>
        </is>
      </c>
      <c r="D55" s="146" t="inlineStr">
        <is>
          <t>Medical</t>
        </is>
      </c>
      <c r="E55" s="146" t="inlineStr">
        <is>
          <t>Family medical cover - Bronze Plan</t>
        </is>
      </c>
      <c r="F55" s="147" t="n">
        <v>46260</v>
      </c>
      <c r="G55" s="146" t="inlineStr">
        <is>
          <t>Renewed</t>
        </is>
      </c>
      <c r="H55" s="139">
        <f>IF(OR(G55="Renewed",G55=""),0,IF(TODAY()&gt;F55,TODAY()-F55,0))</f>
        <v/>
      </c>
      <c r="I55" s="146" t="inlineStr">
        <is>
          <t>Renewed after reminder call</t>
        </is>
      </c>
      <c r="J55" s="146" t="inlineStr">
        <is>
          <t>amina.k50@example.com</t>
        </is>
      </c>
      <c r="K55" s="83" t="n"/>
      <c r="L55" s="140">
        <f>IF(AND(G55&lt;&gt;"Renewed",F55&lt;&gt;"",F55&gt;=TODAY()),SUMPRODUCT(($G$5:$G$304&lt;&gt;"Renewed")*($F$5:$F$304&lt;&gt;"")*($F$5:$F$304&gt;=TODAY())*($F$5:$F$304&lt;F55))+SUMPRODUCT(($G$5:$G$304&lt;&gt;"Renewed")*($F$5:$F$304=F55)*(ROW($F$5:$F$304)&lt;ROW(F55)))+1,"")</f>
        <v/>
      </c>
      <c r="M55" s="140">
        <f>IF(H55&gt;0,SUMPRODUCT(($H$5:$H$304&gt;H55))+SUMPRODUCT(($H$5:$H$304=H55)*(ROW($H$5:$H$304)&lt;ROW(H55)))+1,"")</f>
        <v/>
      </c>
      <c r="N55" s="140">
        <f>IF(F55&lt;&gt;"",SUMPRODUCT(($F$5:$F$304=F55)*(ROW($F$5:$F$304)&lt;ROW(F55)))+1,"")</f>
        <v/>
      </c>
      <c r="O55" s="140">
        <f>IF(F55&lt;&gt;"",TEXT(F55,"yyyymmdd")&amp;"-"&amp;N55,"")</f>
        <v/>
      </c>
    </row>
    <row r="56" ht="15" customHeight="1" s="82">
      <c r="A56" s="83" t="n"/>
      <c r="B56" s="144">
        <f>IF(C56="","","POL-"&amp;TEXT(ROW()-4,"0000"))</f>
        <v/>
      </c>
      <c r="C56" s="144" t="inlineStr">
        <is>
          <t>Collins Barasa</t>
        </is>
      </c>
      <c r="D56" s="144" t="inlineStr">
        <is>
          <t>Motor</t>
        </is>
      </c>
      <c r="E56" s="144" t="inlineStr">
        <is>
          <t>Third party only - Isuzu D-Max KCZ 935H</t>
        </is>
      </c>
      <c r="F56" s="145" t="n">
        <v>46358</v>
      </c>
      <c r="G56" s="144" t="inlineStr">
        <is>
          <t>Not Renewed</t>
        </is>
      </c>
      <c r="H56" s="143">
        <f>IF(OR(G56="Renewed",G56=""),0,IF(TODAY()&gt;F56,TODAY()-F56,0))</f>
        <v/>
      </c>
      <c r="I56" s="144" t="n"/>
      <c r="J56" s="144" t="inlineStr">
        <is>
          <t>collins.b51@example.com</t>
        </is>
      </c>
      <c r="K56" s="83" t="n"/>
      <c r="L56" s="140">
        <f>IF(AND(G56&lt;&gt;"Renewed",F56&lt;&gt;"",F56&gt;=TODAY()),SUMPRODUCT(($G$5:$G$304&lt;&gt;"Renewed")*($F$5:$F$304&lt;&gt;"")*($F$5:$F$304&gt;=TODAY())*($F$5:$F$304&lt;F56))+SUMPRODUCT(($G$5:$G$304&lt;&gt;"Renewed")*($F$5:$F$304=F56)*(ROW($F$5:$F$304)&lt;ROW(F56)))+1,"")</f>
        <v/>
      </c>
      <c r="M56" s="140">
        <f>IF(H56&gt;0,SUMPRODUCT(($H$5:$H$304&gt;H56))+SUMPRODUCT(($H$5:$H$304=H56)*(ROW($H$5:$H$304)&lt;ROW(H56)))+1,"")</f>
        <v/>
      </c>
      <c r="N56" s="140">
        <f>IF(F56&lt;&gt;"",SUMPRODUCT(($F$5:$F$304=F56)*(ROW($F$5:$F$304)&lt;ROW(F56)))+1,"")</f>
        <v/>
      </c>
      <c r="O56" s="140">
        <f>IF(F56&lt;&gt;"",TEXT(F56,"yyyymmdd")&amp;"-"&amp;N56,"")</f>
        <v/>
      </c>
    </row>
    <row r="57" ht="15" customHeight="1" s="82">
      <c r="A57" s="83" t="n"/>
      <c r="B57" s="146">
        <f>IF(C57="","","POL-"&amp;TEXT(ROW()-4,"0000"))</f>
        <v/>
      </c>
      <c r="C57" s="146" t="inlineStr">
        <is>
          <t>Pwani Fresh Produce</t>
        </is>
      </c>
      <c r="D57" s="146" t="inlineStr">
        <is>
          <t>Fire</t>
        </is>
      </c>
      <c r="E57" s="146" t="inlineStr">
        <is>
          <t>Fire &amp; burglary - retail shop</t>
        </is>
      </c>
      <c r="F57" s="147" t="n">
        <v>46291</v>
      </c>
      <c r="G57" s="146" t="inlineStr">
        <is>
          <t>Renewed</t>
        </is>
      </c>
      <c r="H57" s="139">
        <f>IF(OR(G57="Renewed",G57=""),0,IF(TODAY()&gt;F57,TODAY()-F57,0))</f>
        <v/>
      </c>
      <c r="I57" s="146" t="inlineStr">
        <is>
          <t>Renewed, certificate sent</t>
        </is>
      </c>
      <c r="J57" s="146" t="inlineStr">
        <is>
          <t>pwani.p52@example.com</t>
        </is>
      </c>
      <c r="K57" s="83" t="n"/>
      <c r="L57" s="140">
        <f>IF(AND(G57&lt;&gt;"Renewed",F57&lt;&gt;"",F57&gt;=TODAY()),SUMPRODUCT(($G$5:$G$304&lt;&gt;"Renewed")*($F$5:$F$304&lt;&gt;"")*($F$5:$F$304&gt;=TODAY())*($F$5:$F$304&lt;F57))+SUMPRODUCT(($G$5:$G$304&lt;&gt;"Renewed")*($F$5:$F$304=F57)*(ROW($F$5:$F$304)&lt;ROW(F57)))+1,"")</f>
        <v/>
      </c>
      <c r="M57" s="140">
        <f>IF(H57&gt;0,SUMPRODUCT(($H$5:$H$304&gt;H57))+SUMPRODUCT(($H$5:$H$304=H57)*(ROW($H$5:$H$304)&lt;ROW(H57)))+1,"")</f>
        <v/>
      </c>
      <c r="N57" s="140">
        <f>IF(F57&lt;&gt;"",SUMPRODUCT(($F$5:$F$304=F57)*(ROW($F$5:$F$304)&lt;ROW(F57)))+1,"")</f>
        <v/>
      </c>
      <c r="O57" s="140">
        <f>IF(F57&lt;&gt;"",TEXT(F57,"yyyymmdd")&amp;"-"&amp;N57,"")</f>
        <v/>
      </c>
    </row>
    <row r="58" ht="15" customHeight="1" s="82">
      <c r="A58" s="83" t="n"/>
      <c r="B58" s="144">
        <f>IF(C58="","","POL-"&amp;TEXT(ROW()-4,"0000"))</f>
        <v/>
      </c>
      <c r="C58" s="144" t="inlineStr">
        <is>
          <t>Tembo Hardware</t>
        </is>
      </c>
      <c r="D58" s="144" t="inlineStr">
        <is>
          <t>Motor</t>
        </is>
      </c>
      <c r="E58" s="144" t="inlineStr">
        <is>
          <t>Comprehensive cover - Toyota Axio KDC 429F</t>
        </is>
      </c>
      <c r="F58" s="145" t="n">
        <v>46289</v>
      </c>
      <c r="G58" s="144" t="inlineStr">
        <is>
          <t>Renewed</t>
        </is>
      </c>
      <c r="H58" s="143">
        <f>IF(OR(G58="Renewed",G58=""),0,IF(TODAY()&gt;F58,TODAY()-F58,0))</f>
        <v/>
      </c>
      <c r="I58" s="144" t="inlineStr">
        <is>
          <t>Renewed via bank transfer</t>
        </is>
      </c>
      <c r="J58" s="144" t="inlineStr">
        <is>
          <t>tembo.h53@example.com</t>
        </is>
      </c>
      <c r="K58" s="83" t="n"/>
      <c r="L58" s="140">
        <f>IF(AND(G58&lt;&gt;"Renewed",F58&lt;&gt;"",F58&gt;=TODAY()),SUMPRODUCT(($G$5:$G$304&lt;&gt;"Renewed")*($F$5:$F$304&lt;&gt;"")*($F$5:$F$304&gt;=TODAY())*($F$5:$F$304&lt;F58))+SUMPRODUCT(($G$5:$G$304&lt;&gt;"Renewed")*($F$5:$F$304=F58)*(ROW($F$5:$F$304)&lt;ROW(F58)))+1,"")</f>
        <v/>
      </c>
      <c r="M58" s="140">
        <f>IF(H58&gt;0,SUMPRODUCT(($H$5:$H$304&gt;H58))+SUMPRODUCT(($H$5:$H$304=H58)*(ROW($H$5:$H$304)&lt;ROW(H58)))+1,"")</f>
        <v/>
      </c>
      <c r="N58" s="140">
        <f>IF(F58&lt;&gt;"",SUMPRODUCT(($F$5:$F$304=F58)*(ROW($F$5:$F$304)&lt;ROW(F58)))+1,"")</f>
        <v/>
      </c>
      <c r="O58" s="140">
        <f>IF(F58&lt;&gt;"",TEXT(F58,"yyyymmdd")&amp;"-"&amp;N58,"")</f>
        <v/>
      </c>
    </row>
    <row r="59" ht="15" customHeight="1" s="82">
      <c r="A59" s="83" t="n"/>
      <c r="B59" s="146">
        <f>IF(C59="","","POL-"&amp;TEXT(ROW()-4,"0000"))</f>
        <v/>
      </c>
      <c r="C59" s="146" t="inlineStr">
        <is>
          <t>Brian Barasa</t>
        </is>
      </c>
      <c r="D59" s="146" t="inlineStr">
        <is>
          <t>Public Liability</t>
        </is>
      </c>
      <c r="E59" s="146" t="inlineStr">
        <is>
          <t>Public liability - restaurant</t>
        </is>
      </c>
      <c r="F59" s="147" t="n">
        <v>46326</v>
      </c>
      <c r="G59" s="146" t="inlineStr">
        <is>
          <t>Not Renewed</t>
        </is>
      </c>
      <c r="H59" s="139">
        <f>IF(OR(G59="Renewed",G59=""),0,IF(TODAY()&gt;F59,TODAY()-F59,0))</f>
        <v/>
      </c>
      <c r="I59" s="146" t="n"/>
      <c r="J59" s="146" t="inlineStr">
        <is>
          <t>brian.b54@example.com</t>
        </is>
      </c>
      <c r="K59" s="83" t="n"/>
      <c r="L59" s="140">
        <f>IF(AND(G59&lt;&gt;"Renewed",F59&lt;&gt;"",F59&gt;=TODAY()),SUMPRODUCT(($G$5:$G$304&lt;&gt;"Renewed")*($F$5:$F$304&lt;&gt;"")*($F$5:$F$304&gt;=TODAY())*($F$5:$F$304&lt;F59))+SUMPRODUCT(($G$5:$G$304&lt;&gt;"Renewed")*($F$5:$F$304=F59)*(ROW($F$5:$F$304)&lt;ROW(F59)))+1,"")</f>
        <v/>
      </c>
      <c r="M59" s="140">
        <f>IF(H59&gt;0,SUMPRODUCT(($H$5:$H$304&gt;H59))+SUMPRODUCT(($H$5:$H$304=H59)*(ROW($H$5:$H$304)&lt;ROW(H59)))+1,"")</f>
        <v/>
      </c>
      <c r="N59" s="140">
        <f>IF(F59&lt;&gt;"",SUMPRODUCT(($F$5:$F$304=F59)*(ROW($F$5:$F$304)&lt;ROW(F59)))+1,"")</f>
        <v/>
      </c>
      <c r="O59" s="140">
        <f>IF(F59&lt;&gt;"",TEXT(F59,"yyyymmdd")&amp;"-"&amp;N59,"")</f>
        <v/>
      </c>
    </row>
    <row r="60" ht="15" customHeight="1" s="82">
      <c r="A60" s="83" t="n"/>
      <c r="B60" s="144">
        <f>IF(C60="","","POL-"&amp;TEXT(ROW()-4,"0000"))</f>
        <v/>
      </c>
      <c r="C60" s="144" t="inlineStr">
        <is>
          <t>Chebet Akinyi</t>
        </is>
      </c>
      <c r="D60" s="144" t="inlineStr">
        <is>
          <t>Public Liability</t>
        </is>
      </c>
      <c r="E60" s="144" t="inlineStr">
        <is>
          <t>Public liability - retail outlet</t>
        </is>
      </c>
      <c r="F60" s="145" t="n">
        <v>46286</v>
      </c>
      <c r="G60" s="144" t="inlineStr">
        <is>
          <t>Not Renewed</t>
        </is>
      </c>
      <c r="H60" s="143">
        <f>IF(OR(G60="Renewed",G60=""),0,IF(TODAY()&gt;F60,TODAY()-F60,0))</f>
        <v/>
      </c>
      <c r="I60" s="144" t="inlineStr">
        <is>
          <t>Client unreachable, retry Monday</t>
        </is>
      </c>
      <c r="J60" s="144" t="inlineStr">
        <is>
          <t>chebet.a55@example.com</t>
        </is>
      </c>
      <c r="K60" s="83" t="n"/>
      <c r="L60" s="140">
        <f>IF(AND(G60&lt;&gt;"Renewed",F60&lt;&gt;"",F60&gt;=TODAY()),SUMPRODUCT(($G$5:$G$304&lt;&gt;"Renewed")*($F$5:$F$304&lt;&gt;"")*($F$5:$F$304&gt;=TODAY())*($F$5:$F$304&lt;F60))+SUMPRODUCT(($G$5:$G$304&lt;&gt;"Renewed")*($F$5:$F$304=F60)*(ROW($F$5:$F$304)&lt;ROW(F60)))+1,"")</f>
        <v/>
      </c>
      <c r="M60" s="140">
        <f>IF(H60&gt;0,SUMPRODUCT(($H$5:$H$304&gt;H60))+SUMPRODUCT(($H$5:$H$304=H60)*(ROW($H$5:$H$304)&lt;ROW(H60)))+1,"")</f>
        <v/>
      </c>
      <c r="N60" s="140">
        <f>IF(F60&lt;&gt;"",SUMPRODUCT(($F$5:$F$304=F60)*(ROW($F$5:$F$304)&lt;ROW(F60)))+1,"")</f>
        <v/>
      </c>
      <c r="O60" s="140">
        <f>IF(F60&lt;&gt;"",TEXT(F60,"yyyymmdd")&amp;"-"&amp;N60,"")</f>
        <v/>
      </c>
    </row>
    <row r="61" ht="15" customHeight="1" s="82">
      <c r="A61" s="83" t="n"/>
      <c r="B61" s="146">
        <f>IF(C61="","","POL-"&amp;TEXT(ROW()-4,"0000"))</f>
        <v/>
      </c>
      <c r="C61" s="146" t="inlineStr">
        <is>
          <t>Victor Mbugua</t>
        </is>
      </c>
      <c r="D61" s="146" t="inlineStr">
        <is>
          <t>Fire</t>
        </is>
      </c>
      <c r="E61" s="146" t="inlineStr">
        <is>
          <t>Fire &amp; burglary - warehouse</t>
        </is>
      </c>
      <c r="F61" s="147" t="n">
        <v>46341</v>
      </c>
      <c r="G61" s="146" t="inlineStr">
        <is>
          <t>Not Renewed</t>
        </is>
      </c>
      <c r="H61" s="139">
        <f>IF(OR(G61="Renewed",G61=""),0,IF(TODAY()&gt;F61,TODAY()-F61,0))</f>
        <v/>
      </c>
      <c r="I61" s="146" t="n"/>
      <c r="J61" s="146" t="inlineStr">
        <is>
          <t>victor.m56@example.com</t>
        </is>
      </c>
      <c r="K61" s="83" t="n"/>
      <c r="L61" s="140">
        <f>IF(AND(G61&lt;&gt;"Renewed",F61&lt;&gt;"",F61&gt;=TODAY()),SUMPRODUCT(($G$5:$G$304&lt;&gt;"Renewed")*($F$5:$F$304&lt;&gt;"")*($F$5:$F$304&gt;=TODAY())*($F$5:$F$304&lt;F61))+SUMPRODUCT(($G$5:$G$304&lt;&gt;"Renewed")*($F$5:$F$304=F61)*(ROW($F$5:$F$304)&lt;ROW(F61)))+1,"")</f>
        <v/>
      </c>
      <c r="M61" s="140">
        <f>IF(H61&gt;0,SUMPRODUCT(($H$5:$H$304&gt;H61))+SUMPRODUCT(($H$5:$H$304=H61)*(ROW($H$5:$H$304)&lt;ROW(H61)))+1,"")</f>
        <v/>
      </c>
      <c r="N61" s="140">
        <f>IF(F61&lt;&gt;"",SUMPRODUCT(($F$5:$F$304=F61)*(ROW($F$5:$F$304)&lt;ROW(F61)))+1,"")</f>
        <v/>
      </c>
      <c r="O61" s="140">
        <f>IF(F61&lt;&gt;"",TEXT(F61,"yyyymmdd")&amp;"-"&amp;N61,"")</f>
        <v/>
      </c>
    </row>
    <row r="62" ht="15" customHeight="1" s="82">
      <c r="A62" s="83" t="n"/>
      <c r="B62" s="144">
        <f>IF(C62="","","POL-"&amp;TEXT(ROW()-4,"0000"))</f>
        <v/>
      </c>
      <c r="C62" s="144" t="inlineStr">
        <is>
          <t>Martin Akinyi</t>
        </is>
      </c>
      <c r="D62" s="144" t="inlineStr">
        <is>
          <t>Fire</t>
        </is>
      </c>
      <c r="E62" s="144" t="inlineStr">
        <is>
          <t>Fire &amp; burglary - warehouse</t>
        </is>
      </c>
      <c r="F62" s="145" t="n">
        <v>46310</v>
      </c>
      <c r="G62" s="144" t="inlineStr">
        <is>
          <t>Not Renewed</t>
        </is>
      </c>
      <c r="H62" s="143">
        <f>IF(OR(G62="Renewed",G62=""),0,IF(TODAY()&gt;F62,TODAY()-F62,0))</f>
        <v/>
      </c>
      <c r="I62" s="144" t="n"/>
      <c r="J62" s="144" t="inlineStr">
        <is>
          <t>martin.a57@example.com</t>
        </is>
      </c>
      <c r="K62" s="83" t="n"/>
      <c r="L62" s="140">
        <f>IF(AND(G62&lt;&gt;"Renewed",F62&lt;&gt;"",F62&gt;=TODAY()),SUMPRODUCT(($G$5:$G$304&lt;&gt;"Renewed")*($F$5:$F$304&lt;&gt;"")*($F$5:$F$304&gt;=TODAY())*($F$5:$F$304&lt;F62))+SUMPRODUCT(($G$5:$G$304&lt;&gt;"Renewed")*($F$5:$F$304=F62)*(ROW($F$5:$F$304)&lt;ROW(F62)))+1,"")</f>
        <v/>
      </c>
      <c r="M62" s="140">
        <f>IF(H62&gt;0,SUMPRODUCT(($H$5:$H$304&gt;H62))+SUMPRODUCT(($H$5:$H$304=H62)*(ROW($H$5:$H$304)&lt;ROW(H62)))+1,"")</f>
        <v/>
      </c>
      <c r="N62" s="140">
        <f>IF(F62&lt;&gt;"",SUMPRODUCT(($F$5:$F$304=F62)*(ROW($F$5:$F$304)&lt;ROW(F62)))+1,"")</f>
        <v/>
      </c>
      <c r="O62" s="140">
        <f>IF(F62&lt;&gt;"",TEXT(F62,"yyyymmdd")&amp;"-"&amp;N62,"")</f>
        <v/>
      </c>
    </row>
    <row r="63" ht="15" customHeight="1" s="82">
      <c r="A63" s="83" t="n"/>
      <c r="B63" s="146">
        <f>IF(C63="","","POL-"&amp;TEXT(ROW()-4,"0000"))</f>
        <v/>
      </c>
      <c r="C63" s="146" t="inlineStr">
        <is>
          <t>Faith Kamau</t>
        </is>
      </c>
      <c r="D63" s="146" t="inlineStr">
        <is>
          <t>Public Liability</t>
        </is>
      </c>
      <c r="E63" s="146" t="inlineStr">
        <is>
          <t>Public liability - construction site</t>
        </is>
      </c>
      <c r="F63" s="147" t="n">
        <v>46301</v>
      </c>
      <c r="G63" s="146" t="inlineStr">
        <is>
          <t>Not Renewed</t>
        </is>
      </c>
      <c r="H63" s="139">
        <f>IF(OR(G63="Renewed",G63=""),0,IF(TODAY()&gt;F63,TODAY()-F63,0))</f>
        <v/>
      </c>
      <c r="I63" s="146" t="n"/>
      <c r="J63" s="146" t="inlineStr">
        <is>
          <t>faith.k58@example.com</t>
        </is>
      </c>
      <c r="K63" s="83" t="n"/>
      <c r="L63" s="140">
        <f>IF(AND(G63&lt;&gt;"Renewed",F63&lt;&gt;"",F63&gt;=TODAY()),SUMPRODUCT(($G$5:$G$304&lt;&gt;"Renewed")*($F$5:$F$304&lt;&gt;"")*($F$5:$F$304&gt;=TODAY())*($F$5:$F$304&lt;F63))+SUMPRODUCT(($G$5:$G$304&lt;&gt;"Renewed")*($F$5:$F$304=F63)*(ROW($F$5:$F$304)&lt;ROW(F63)))+1,"")</f>
        <v/>
      </c>
      <c r="M63" s="140">
        <f>IF(H63&gt;0,SUMPRODUCT(($H$5:$H$304&gt;H63))+SUMPRODUCT(($H$5:$H$304=H63)*(ROW($H$5:$H$304)&lt;ROW(H63)))+1,"")</f>
        <v/>
      </c>
      <c r="N63" s="140">
        <f>IF(F63&lt;&gt;"",SUMPRODUCT(($F$5:$F$304=F63)*(ROW($F$5:$F$304)&lt;ROW(F63)))+1,"")</f>
        <v/>
      </c>
      <c r="O63" s="140">
        <f>IF(F63&lt;&gt;"",TEXT(F63,"yyyymmdd")&amp;"-"&amp;N63,"")</f>
        <v/>
      </c>
    </row>
    <row r="64" ht="15" customHeight="1" s="82">
      <c r="A64" s="83" t="n"/>
      <c r="B64" s="144">
        <f>IF(C64="","","POL-"&amp;TEXT(ROW()-4,"0000"))</f>
        <v/>
      </c>
      <c r="C64" s="144" t="inlineStr">
        <is>
          <t>Linet Nyaga</t>
        </is>
      </c>
      <c r="D64" s="144" t="inlineStr">
        <is>
          <t>Medical</t>
        </is>
      </c>
      <c r="E64" s="144" t="inlineStr">
        <is>
          <t>Individual medical cover - Gold Plan</t>
        </is>
      </c>
      <c r="F64" s="145" t="n">
        <v>46294</v>
      </c>
      <c r="G64" s="144" t="inlineStr">
        <is>
          <t>Renewed</t>
        </is>
      </c>
      <c r="H64" s="143">
        <f>IF(OR(G64="Renewed",G64=""),0,IF(TODAY()&gt;F64,TODAY()-F64,0))</f>
        <v/>
      </c>
      <c r="I64" s="144" t="inlineStr">
        <is>
          <t>Renewed via bank transfer</t>
        </is>
      </c>
      <c r="J64" s="144" t="inlineStr">
        <is>
          <t>linet.n59@example.com</t>
        </is>
      </c>
      <c r="K64" s="83" t="n"/>
      <c r="L64" s="140">
        <f>IF(AND(G64&lt;&gt;"Renewed",F64&lt;&gt;"",F64&gt;=TODAY()),SUMPRODUCT(($G$5:$G$304&lt;&gt;"Renewed")*($F$5:$F$304&lt;&gt;"")*($F$5:$F$304&gt;=TODAY())*($F$5:$F$304&lt;F64))+SUMPRODUCT(($G$5:$G$304&lt;&gt;"Renewed")*($F$5:$F$304=F64)*(ROW($F$5:$F$304)&lt;ROW(F64)))+1,"")</f>
        <v/>
      </c>
      <c r="M64" s="140">
        <f>IF(H64&gt;0,SUMPRODUCT(($H$5:$H$304&gt;H64))+SUMPRODUCT(($H$5:$H$304=H64)*(ROW($H$5:$H$304)&lt;ROW(H64)))+1,"")</f>
        <v/>
      </c>
      <c r="N64" s="140">
        <f>IF(F64&lt;&gt;"",SUMPRODUCT(($F$5:$F$304=F64)*(ROW($F$5:$F$304)&lt;ROW(F64)))+1,"")</f>
        <v/>
      </c>
      <c r="O64" s="140">
        <f>IF(F64&lt;&gt;"",TEXT(F64,"yyyymmdd")&amp;"-"&amp;N64,"")</f>
        <v/>
      </c>
    </row>
    <row r="65" ht="15" customHeight="1" s="82">
      <c r="A65" s="83" t="n"/>
      <c r="B65" s="146">
        <f>IF(C65="","","POL-"&amp;TEXT(ROW()-4,"0000"))</f>
        <v/>
      </c>
      <c r="C65" s="146" t="n"/>
      <c r="D65" s="146" t="n"/>
      <c r="E65" s="146" t="n"/>
      <c r="F65" s="147" t="n"/>
      <c r="G65" s="146" t="n"/>
      <c r="H65" s="139">
        <f>IF(OR(G65="Renewed",G65=""),0,IF(TODAY()&gt;F65,TODAY()-F65,0))</f>
        <v/>
      </c>
      <c r="I65" s="146" t="n"/>
      <c r="J65" s="146" t="n"/>
      <c r="K65" s="83" t="n"/>
      <c r="L65" s="140">
        <f>IF(AND(G65&lt;&gt;"Renewed",F65&lt;&gt;"",F65&gt;=TODAY()),SUMPRODUCT(($G$5:$G$304&lt;&gt;"Renewed")*($F$5:$F$304&lt;&gt;"")*($F$5:$F$304&gt;=TODAY())*($F$5:$F$304&lt;F65))+SUMPRODUCT(($G$5:$G$304&lt;&gt;"Renewed")*($F$5:$F$304=F65)*(ROW($F$5:$F$304)&lt;ROW(F65)))+1,"")</f>
        <v/>
      </c>
      <c r="M65" s="140">
        <f>IF(H65&gt;0,SUMPRODUCT(($H$5:$H$304&gt;H65))+SUMPRODUCT(($H$5:$H$304=H65)*(ROW($H$5:$H$304)&lt;ROW(H65)))+1,"")</f>
        <v/>
      </c>
      <c r="N65" s="140">
        <f>IF(F65&lt;&gt;"",SUMPRODUCT(($F$5:$F$304=F65)*(ROW($F$5:$F$304)&lt;ROW(F65)))+1,"")</f>
        <v/>
      </c>
      <c r="O65" s="140">
        <f>IF(F65&lt;&gt;"",TEXT(F65,"yyyymmdd")&amp;"-"&amp;N65,"")</f>
        <v/>
      </c>
    </row>
    <row r="66" ht="15" customHeight="1" s="82">
      <c r="A66" s="83" t="n"/>
      <c r="B66" s="144">
        <f>IF(C66="","","POL-"&amp;TEXT(ROW()-4,"0000"))</f>
        <v/>
      </c>
      <c r="C66" s="144" t="n"/>
      <c r="D66" s="144" t="n"/>
      <c r="E66" s="144" t="n"/>
      <c r="F66" s="145" t="n"/>
      <c r="G66" s="144" t="n"/>
      <c r="H66" s="143">
        <f>IF(OR(G66="Renewed",G66=""),0,IF(TODAY()&gt;F66,TODAY()-F66,0))</f>
        <v/>
      </c>
      <c r="I66" s="144" t="n"/>
      <c r="J66" s="144" t="n"/>
      <c r="K66" s="83" t="n"/>
      <c r="L66" s="140">
        <f>IF(AND(G66&lt;&gt;"Renewed",F66&lt;&gt;"",F66&gt;=TODAY()),SUMPRODUCT(($G$5:$G$304&lt;&gt;"Renewed")*($F$5:$F$304&lt;&gt;"")*($F$5:$F$304&gt;=TODAY())*($F$5:$F$304&lt;F66))+SUMPRODUCT(($G$5:$G$304&lt;&gt;"Renewed")*($F$5:$F$304=F66)*(ROW($F$5:$F$304)&lt;ROW(F66)))+1,"")</f>
        <v/>
      </c>
      <c r="M66" s="140">
        <f>IF(H66&gt;0,SUMPRODUCT(($H$5:$H$304&gt;H66))+SUMPRODUCT(($H$5:$H$304=H66)*(ROW($H$5:$H$304)&lt;ROW(H66)))+1,"")</f>
        <v/>
      </c>
      <c r="N66" s="140">
        <f>IF(F66&lt;&gt;"",SUMPRODUCT(($F$5:$F$304=F66)*(ROW($F$5:$F$304)&lt;ROW(F66)))+1,"")</f>
        <v/>
      </c>
      <c r="O66" s="140">
        <f>IF(F66&lt;&gt;"",TEXT(F66,"yyyymmdd")&amp;"-"&amp;N66,"")</f>
        <v/>
      </c>
    </row>
    <row r="67" ht="15" customHeight="1" s="82">
      <c r="A67" s="83" t="n"/>
      <c r="B67" s="146">
        <f>IF(C67="","","POL-"&amp;TEXT(ROW()-4,"0000"))</f>
        <v/>
      </c>
      <c r="C67" s="146" t="n"/>
      <c r="D67" s="146" t="n"/>
      <c r="E67" s="146" t="n"/>
      <c r="F67" s="147" t="n"/>
      <c r="G67" s="146" t="n"/>
      <c r="H67" s="139">
        <f>IF(OR(G67="Renewed",G67=""),0,IF(TODAY()&gt;F67,TODAY()-F67,0))</f>
        <v/>
      </c>
      <c r="I67" s="146" t="n"/>
      <c r="J67" s="146" t="n"/>
      <c r="K67" s="83" t="n"/>
      <c r="L67" s="140">
        <f>IF(AND(G67&lt;&gt;"Renewed",F67&lt;&gt;"",F67&gt;=TODAY()),SUMPRODUCT(($G$5:$G$304&lt;&gt;"Renewed")*($F$5:$F$304&lt;&gt;"")*($F$5:$F$304&gt;=TODAY())*($F$5:$F$304&lt;F67))+SUMPRODUCT(($G$5:$G$304&lt;&gt;"Renewed")*($F$5:$F$304=F67)*(ROW($F$5:$F$304)&lt;ROW(F67)))+1,"")</f>
        <v/>
      </c>
      <c r="M67" s="140">
        <f>IF(H67&gt;0,SUMPRODUCT(($H$5:$H$304&gt;H67))+SUMPRODUCT(($H$5:$H$304=H67)*(ROW($H$5:$H$304)&lt;ROW(H67)))+1,"")</f>
        <v/>
      </c>
      <c r="N67" s="140">
        <f>IF(F67&lt;&gt;"",SUMPRODUCT(($F$5:$F$304=F67)*(ROW($F$5:$F$304)&lt;ROW(F67)))+1,"")</f>
        <v/>
      </c>
      <c r="O67" s="140">
        <f>IF(F67&lt;&gt;"",TEXT(F67,"yyyymmdd")&amp;"-"&amp;N67,"")</f>
        <v/>
      </c>
    </row>
    <row r="68" ht="15" customHeight="1" s="82">
      <c r="A68" s="83" t="n"/>
      <c r="B68" s="144">
        <f>IF(C68="","","POL-"&amp;TEXT(ROW()-4,"0000"))</f>
        <v/>
      </c>
      <c r="C68" s="144" t="n"/>
      <c r="D68" s="144" t="n"/>
      <c r="E68" s="144" t="n"/>
      <c r="F68" s="145" t="n"/>
      <c r="G68" s="144" t="n"/>
      <c r="H68" s="143">
        <f>IF(OR(G68="Renewed",G68=""),0,IF(TODAY()&gt;F68,TODAY()-F68,0))</f>
        <v/>
      </c>
      <c r="I68" s="144" t="n"/>
      <c r="J68" s="144" t="n"/>
      <c r="K68" s="83" t="n"/>
      <c r="L68" s="140">
        <f>IF(AND(G68&lt;&gt;"Renewed",F68&lt;&gt;"",F68&gt;=TODAY()),SUMPRODUCT(($G$5:$G$304&lt;&gt;"Renewed")*($F$5:$F$304&lt;&gt;"")*($F$5:$F$304&gt;=TODAY())*($F$5:$F$304&lt;F68))+SUMPRODUCT(($G$5:$G$304&lt;&gt;"Renewed")*($F$5:$F$304=F68)*(ROW($F$5:$F$304)&lt;ROW(F68)))+1,"")</f>
        <v/>
      </c>
      <c r="M68" s="140">
        <f>IF(H68&gt;0,SUMPRODUCT(($H$5:$H$304&gt;H68))+SUMPRODUCT(($H$5:$H$304=H68)*(ROW($H$5:$H$304)&lt;ROW(H68)))+1,"")</f>
        <v/>
      </c>
      <c r="N68" s="140">
        <f>IF(F68&lt;&gt;"",SUMPRODUCT(($F$5:$F$304=F68)*(ROW($F$5:$F$304)&lt;ROW(F68)))+1,"")</f>
        <v/>
      </c>
      <c r="O68" s="140">
        <f>IF(F68&lt;&gt;"",TEXT(F68,"yyyymmdd")&amp;"-"&amp;N68,"")</f>
        <v/>
      </c>
    </row>
    <row r="69" ht="15" customHeight="1" s="82">
      <c r="A69" s="83" t="n"/>
      <c r="B69" s="146">
        <f>IF(C69="","","POL-"&amp;TEXT(ROW()-4,"0000"))</f>
        <v/>
      </c>
      <c r="C69" s="146" t="n"/>
      <c r="D69" s="146" t="n"/>
      <c r="E69" s="146" t="n"/>
      <c r="F69" s="147" t="n"/>
      <c r="G69" s="146" t="n"/>
      <c r="H69" s="139">
        <f>IF(OR(G69="Renewed",G69=""),0,IF(TODAY()&gt;F69,TODAY()-F69,0))</f>
        <v/>
      </c>
      <c r="I69" s="146" t="n"/>
      <c r="J69" s="146" t="n"/>
      <c r="K69" s="83" t="n"/>
      <c r="L69" s="140">
        <f>IF(AND(G69&lt;&gt;"Renewed",F69&lt;&gt;"",F69&gt;=TODAY()),SUMPRODUCT(($G$5:$G$304&lt;&gt;"Renewed")*($F$5:$F$304&lt;&gt;"")*($F$5:$F$304&gt;=TODAY())*($F$5:$F$304&lt;F69))+SUMPRODUCT(($G$5:$G$304&lt;&gt;"Renewed")*($F$5:$F$304=F69)*(ROW($F$5:$F$304)&lt;ROW(F69)))+1,"")</f>
        <v/>
      </c>
      <c r="M69" s="140">
        <f>IF(H69&gt;0,SUMPRODUCT(($H$5:$H$304&gt;H69))+SUMPRODUCT(($H$5:$H$304=H69)*(ROW($H$5:$H$304)&lt;ROW(H69)))+1,"")</f>
        <v/>
      </c>
      <c r="N69" s="140">
        <f>IF(F69&lt;&gt;"",SUMPRODUCT(($F$5:$F$304=F69)*(ROW($F$5:$F$304)&lt;ROW(F69)))+1,"")</f>
        <v/>
      </c>
      <c r="O69" s="140">
        <f>IF(F69&lt;&gt;"",TEXT(F69,"yyyymmdd")&amp;"-"&amp;N69,"")</f>
        <v/>
      </c>
    </row>
    <row r="70" ht="15" customHeight="1" s="82">
      <c r="A70" s="83" t="n"/>
      <c r="B70" s="144">
        <f>IF(C70="","","POL-"&amp;TEXT(ROW()-4,"0000"))</f>
        <v/>
      </c>
      <c r="C70" s="144" t="n"/>
      <c r="D70" s="144" t="n"/>
      <c r="E70" s="144" t="n"/>
      <c r="F70" s="145" t="n"/>
      <c r="G70" s="144" t="n"/>
      <c r="H70" s="143">
        <f>IF(OR(G70="Renewed",G70=""),0,IF(TODAY()&gt;F70,TODAY()-F70,0))</f>
        <v/>
      </c>
      <c r="I70" s="144" t="n"/>
      <c r="J70" s="144" t="n"/>
      <c r="K70" s="83" t="n"/>
      <c r="L70" s="140">
        <f>IF(AND(G70&lt;&gt;"Renewed",F70&lt;&gt;"",F70&gt;=TODAY()),SUMPRODUCT(($G$5:$G$304&lt;&gt;"Renewed")*($F$5:$F$304&lt;&gt;"")*($F$5:$F$304&gt;=TODAY())*($F$5:$F$304&lt;F70))+SUMPRODUCT(($G$5:$G$304&lt;&gt;"Renewed")*($F$5:$F$304=F70)*(ROW($F$5:$F$304)&lt;ROW(F70)))+1,"")</f>
        <v/>
      </c>
      <c r="M70" s="140">
        <f>IF(H70&gt;0,SUMPRODUCT(($H$5:$H$304&gt;H70))+SUMPRODUCT(($H$5:$H$304=H70)*(ROW($H$5:$H$304)&lt;ROW(H70)))+1,"")</f>
        <v/>
      </c>
      <c r="N70" s="140">
        <f>IF(F70&lt;&gt;"",SUMPRODUCT(($F$5:$F$304=F70)*(ROW($F$5:$F$304)&lt;ROW(F70)))+1,"")</f>
        <v/>
      </c>
      <c r="O70" s="140">
        <f>IF(F70&lt;&gt;"",TEXT(F70,"yyyymmdd")&amp;"-"&amp;N70,"")</f>
        <v/>
      </c>
    </row>
    <row r="71" ht="15" customHeight="1" s="82">
      <c r="A71" s="83" t="n"/>
      <c r="B71" s="146">
        <f>IF(C71="","","POL-"&amp;TEXT(ROW()-4,"0000"))</f>
        <v/>
      </c>
      <c r="C71" s="146" t="n"/>
      <c r="D71" s="146" t="n"/>
      <c r="E71" s="146" t="n"/>
      <c r="F71" s="147" t="n"/>
      <c r="G71" s="146" t="n"/>
      <c r="H71" s="139">
        <f>IF(OR(G71="Renewed",G71=""),0,IF(TODAY()&gt;F71,TODAY()-F71,0))</f>
        <v/>
      </c>
      <c r="I71" s="146" t="n"/>
      <c r="J71" s="146" t="n"/>
      <c r="K71" s="83" t="n"/>
      <c r="L71" s="140">
        <f>IF(AND(G71&lt;&gt;"Renewed",F71&lt;&gt;"",F71&gt;=TODAY()),SUMPRODUCT(($G$5:$G$304&lt;&gt;"Renewed")*($F$5:$F$304&lt;&gt;"")*($F$5:$F$304&gt;=TODAY())*($F$5:$F$304&lt;F71))+SUMPRODUCT(($G$5:$G$304&lt;&gt;"Renewed")*($F$5:$F$304=F71)*(ROW($F$5:$F$304)&lt;ROW(F71)))+1,"")</f>
        <v/>
      </c>
      <c r="M71" s="140">
        <f>IF(H71&gt;0,SUMPRODUCT(($H$5:$H$304&gt;H71))+SUMPRODUCT(($H$5:$H$304=H71)*(ROW($H$5:$H$304)&lt;ROW(H71)))+1,"")</f>
        <v/>
      </c>
      <c r="N71" s="140">
        <f>IF(F71&lt;&gt;"",SUMPRODUCT(($F$5:$F$304=F71)*(ROW($F$5:$F$304)&lt;ROW(F71)))+1,"")</f>
        <v/>
      </c>
      <c r="O71" s="140">
        <f>IF(F71&lt;&gt;"",TEXT(F71,"yyyymmdd")&amp;"-"&amp;N71,"")</f>
        <v/>
      </c>
    </row>
    <row r="72" ht="15" customHeight="1" s="82">
      <c r="A72" s="83" t="n"/>
      <c r="B72" s="144">
        <f>IF(C72="","","POL-"&amp;TEXT(ROW()-4,"0000"))</f>
        <v/>
      </c>
      <c r="C72" s="144" t="n"/>
      <c r="D72" s="144" t="n"/>
      <c r="E72" s="144" t="n"/>
      <c r="F72" s="145" t="n"/>
      <c r="G72" s="144" t="n"/>
      <c r="H72" s="143">
        <f>IF(OR(G72="Renewed",G72=""),0,IF(TODAY()&gt;F72,TODAY()-F72,0))</f>
        <v/>
      </c>
      <c r="I72" s="144" t="n"/>
      <c r="J72" s="144" t="n"/>
      <c r="K72" s="83" t="n"/>
      <c r="L72" s="140">
        <f>IF(AND(G72&lt;&gt;"Renewed",F72&lt;&gt;"",F72&gt;=TODAY()),SUMPRODUCT(($G$5:$G$304&lt;&gt;"Renewed")*($F$5:$F$304&lt;&gt;"")*($F$5:$F$304&gt;=TODAY())*($F$5:$F$304&lt;F72))+SUMPRODUCT(($G$5:$G$304&lt;&gt;"Renewed")*($F$5:$F$304=F72)*(ROW($F$5:$F$304)&lt;ROW(F72)))+1,"")</f>
        <v/>
      </c>
      <c r="M72" s="140">
        <f>IF(H72&gt;0,SUMPRODUCT(($H$5:$H$304&gt;H72))+SUMPRODUCT(($H$5:$H$304=H72)*(ROW($H$5:$H$304)&lt;ROW(H72)))+1,"")</f>
        <v/>
      </c>
      <c r="N72" s="140">
        <f>IF(F72&lt;&gt;"",SUMPRODUCT(($F$5:$F$304=F72)*(ROW($F$5:$F$304)&lt;ROW(F72)))+1,"")</f>
        <v/>
      </c>
      <c r="O72" s="140">
        <f>IF(F72&lt;&gt;"",TEXT(F72,"yyyymmdd")&amp;"-"&amp;N72,"")</f>
        <v/>
      </c>
    </row>
    <row r="73" ht="15" customHeight="1" s="82">
      <c r="A73" s="83" t="n"/>
      <c r="B73" s="146">
        <f>IF(C73="","","POL-"&amp;TEXT(ROW()-4,"0000"))</f>
        <v/>
      </c>
      <c r="C73" s="146" t="n"/>
      <c r="D73" s="146" t="n"/>
      <c r="E73" s="146" t="n"/>
      <c r="F73" s="147" t="n"/>
      <c r="G73" s="146" t="n"/>
      <c r="H73" s="139">
        <f>IF(OR(G73="Renewed",G73=""),0,IF(TODAY()&gt;F73,TODAY()-F73,0))</f>
        <v/>
      </c>
      <c r="I73" s="146" t="n"/>
      <c r="J73" s="146" t="n"/>
      <c r="K73" s="83" t="n"/>
      <c r="L73" s="140">
        <f>IF(AND(G73&lt;&gt;"Renewed",F73&lt;&gt;"",F73&gt;=TODAY()),SUMPRODUCT(($G$5:$G$304&lt;&gt;"Renewed")*($F$5:$F$304&lt;&gt;"")*($F$5:$F$304&gt;=TODAY())*($F$5:$F$304&lt;F73))+SUMPRODUCT(($G$5:$G$304&lt;&gt;"Renewed")*($F$5:$F$304=F73)*(ROW($F$5:$F$304)&lt;ROW(F73)))+1,"")</f>
        <v/>
      </c>
      <c r="M73" s="140">
        <f>IF(H73&gt;0,SUMPRODUCT(($H$5:$H$304&gt;H73))+SUMPRODUCT(($H$5:$H$304=H73)*(ROW($H$5:$H$304)&lt;ROW(H73)))+1,"")</f>
        <v/>
      </c>
      <c r="N73" s="140">
        <f>IF(F73&lt;&gt;"",SUMPRODUCT(($F$5:$F$304=F73)*(ROW($F$5:$F$304)&lt;ROW(F73)))+1,"")</f>
        <v/>
      </c>
      <c r="O73" s="140">
        <f>IF(F73&lt;&gt;"",TEXT(F73,"yyyymmdd")&amp;"-"&amp;N73,"")</f>
        <v/>
      </c>
    </row>
    <row r="74" ht="15" customHeight="1" s="82">
      <c r="A74" s="83" t="n"/>
      <c r="B74" s="144">
        <f>IF(C74="","","POL-"&amp;TEXT(ROW()-4,"0000"))</f>
        <v/>
      </c>
      <c r="C74" s="144" t="n"/>
      <c r="D74" s="144" t="n"/>
      <c r="E74" s="144" t="n"/>
      <c r="F74" s="145" t="n"/>
      <c r="G74" s="144" t="n"/>
      <c r="H74" s="143">
        <f>IF(OR(G74="Renewed",G74=""),0,IF(TODAY()&gt;F74,TODAY()-F74,0))</f>
        <v/>
      </c>
      <c r="I74" s="144" t="n"/>
      <c r="J74" s="144" t="n"/>
      <c r="K74" s="83" t="n"/>
      <c r="L74" s="140">
        <f>IF(AND(G74&lt;&gt;"Renewed",F74&lt;&gt;"",F74&gt;=TODAY()),SUMPRODUCT(($G$5:$G$304&lt;&gt;"Renewed")*($F$5:$F$304&lt;&gt;"")*($F$5:$F$304&gt;=TODAY())*($F$5:$F$304&lt;F74))+SUMPRODUCT(($G$5:$G$304&lt;&gt;"Renewed")*($F$5:$F$304=F74)*(ROW($F$5:$F$304)&lt;ROW(F74)))+1,"")</f>
        <v/>
      </c>
      <c r="M74" s="140">
        <f>IF(H74&gt;0,SUMPRODUCT(($H$5:$H$304&gt;H74))+SUMPRODUCT(($H$5:$H$304=H74)*(ROW($H$5:$H$304)&lt;ROW(H74)))+1,"")</f>
        <v/>
      </c>
      <c r="N74" s="140">
        <f>IF(F74&lt;&gt;"",SUMPRODUCT(($F$5:$F$304=F74)*(ROW($F$5:$F$304)&lt;ROW(F74)))+1,"")</f>
        <v/>
      </c>
      <c r="O74" s="140">
        <f>IF(F74&lt;&gt;"",TEXT(F74,"yyyymmdd")&amp;"-"&amp;N74,"")</f>
        <v/>
      </c>
    </row>
    <row r="75" ht="15" customHeight="1" s="82">
      <c r="A75" s="83" t="n"/>
      <c r="B75" s="146">
        <f>IF(C75="","","POL-"&amp;TEXT(ROW()-4,"0000"))</f>
        <v/>
      </c>
      <c r="C75" s="146" t="n"/>
      <c r="D75" s="146" t="n"/>
      <c r="E75" s="146" t="n"/>
      <c r="F75" s="147" t="n"/>
      <c r="G75" s="146" t="n"/>
      <c r="H75" s="139">
        <f>IF(OR(G75="Renewed",G75=""),0,IF(TODAY()&gt;F75,TODAY()-F75,0))</f>
        <v/>
      </c>
      <c r="I75" s="146" t="n"/>
      <c r="J75" s="146" t="n"/>
      <c r="K75" s="83" t="n"/>
      <c r="L75" s="140">
        <f>IF(AND(G75&lt;&gt;"Renewed",F75&lt;&gt;"",F75&gt;=TODAY()),SUMPRODUCT(($G$5:$G$304&lt;&gt;"Renewed")*($F$5:$F$304&lt;&gt;"")*($F$5:$F$304&gt;=TODAY())*($F$5:$F$304&lt;F75))+SUMPRODUCT(($G$5:$G$304&lt;&gt;"Renewed")*($F$5:$F$304=F75)*(ROW($F$5:$F$304)&lt;ROW(F75)))+1,"")</f>
        <v/>
      </c>
      <c r="M75" s="140">
        <f>IF(H75&gt;0,SUMPRODUCT(($H$5:$H$304&gt;H75))+SUMPRODUCT(($H$5:$H$304=H75)*(ROW($H$5:$H$304)&lt;ROW(H75)))+1,"")</f>
        <v/>
      </c>
      <c r="N75" s="140">
        <f>IF(F75&lt;&gt;"",SUMPRODUCT(($F$5:$F$304=F75)*(ROW($F$5:$F$304)&lt;ROW(F75)))+1,"")</f>
        <v/>
      </c>
      <c r="O75" s="140">
        <f>IF(F75&lt;&gt;"",TEXT(F75,"yyyymmdd")&amp;"-"&amp;N75,"")</f>
        <v/>
      </c>
    </row>
    <row r="76" ht="15" customHeight="1" s="82">
      <c r="A76" s="83" t="n"/>
      <c r="B76" s="144">
        <f>IF(C76="","","POL-"&amp;TEXT(ROW()-4,"0000"))</f>
        <v/>
      </c>
      <c r="C76" s="144" t="n"/>
      <c r="D76" s="144" t="n"/>
      <c r="E76" s="144" t="n"/>
      <c r="F76" s="145" t="n"/>
      <c r="G76" s="144" t="n"/>
      <c r="H76" s="143">
        <f>IF(OR(G76="Renewed",G76=""),0,IF(TODAY()&gt;F76,TODAY()-F76,0))</f>
        <v/>
      </c>
      <c r="I76" s="144" t="n"/>
      <c r="J76" s="144" t="n"/>
      <c r="K76" s="83" t="n"/>
      <c r="L76" s="140">
        <f>IF(AND(G76&lt;&gt;"Renewed",F76&lt;&gt;"",F76&gt;=TODAY()),SUMPRODUCT(($G$5:$G$304&lt;&gt;"Renewed")*($F$5:$F$304&lt;&gt;"")*($F$5:$F$304&gt;=TODAY())*($F$5:$F$304&lt;F76))+SUMPRODUCT(($G$5:$G$304&lt;&gt;"Renewed")*($F$5:$F$304=F76)*(ROW($F$5:$F$304)&lt;ROW(F76)))+1,"")</f>
        <v/>
      </c>
      <c r="M76" s="140">
        <f>IF(H76&gt;0,SUMPRODUCT(($H$5:$H$304&gt;H76))+SUMPRODUCT(($H$5:$H$304=H76)*(ROW($H$5:$H$304)&lt;ROW(H76)))+1,"")</f>
        <v/>
      </c>
      <c r="N76" s="140">
        <f>IF(F76&lt;&gt;"",SUMPRODUCT(($F$5:$F$304=F76)*(ROW($F$5:$F$304)&lt;ROW(F76)))+1,"")</f>
        <v/>
      </c>
      <c r="O76" s="140">
        <f>IF(F76&lt;&gt;"",TEXT(F76,"yyyymmdd")&amp;"-"&amp;N76,"")</f>
        <v/>
      </c>
    </row>
    <row r="77" ht="15" customHeight="1" s="82">
      <c r="A77" s="83" t="n"/>
      <c r="B77" s="146">
        <f>IF(C77="","","POL-"&amp;TEXT(ROW()-4,"0000"))</f>
        <v/>
      </c>
      <c r="C77" s="146" t="n"/>
      <c r="D77" s="146" t="n"/>
      <c r="E77" s="146" t="n"/>
      <c r="F77" s="147" t="n"/>
      <c r="G77" s="146" t="n"/>
      <c r="H77" s="139">
        <f>IF(OR(G77="Renewed",G77=""),0,IF(TODAY()&gt;F77,TODAY()-F77,0))</f>
        <v/>
      </c>
      <c r="I77" s="146" t="n"/>
      <c r="J77" s="146" t="n"/>
      <c r="K77" s="83" t="n"/>
      <c r="L77" s="140">
        <f>IF(AND(G77&lt;&gt;"Renewed",F77&lt;&gt;"",F77&gt;=TODAY()),SUMPRODUCT(($G$5:$G$304&lt;&gt;"Renewed")*($F$5:$F$304&lt;&gt;"")*($F$5:$F$304&gt;=TODAY())*($F$5:$F$304&lt;F77))+SUMPRODUCT(($G$5:$G$304&lt;&gt;"Renewed")*($F$5:$F$304=F77)*(ROW($F$5:$F$304)&lt;ROW(F77)))+1,"")</f>
        <v/>
      </c>
      <c r="M77" s="140">
        <f>IF(H77&gt;0,SUMPRODUCT(($H$5:$H$304&gt;H77))+SUMPRODUCT(($H$5:$H$304=H77)*(ROW($H$5:$H$304)&lt;ROW(H77)))+1,"")</f>
        <v/>
      </c>
      <c r="N77" s="140">
        <f>IF(F77&lt;&gt;"",SUMPRODUCT(($F$5:$F$304=F77)*(ROW($F$5:$F$304)&lt;ROW(F77)))+1,"")</f>
        <v/>
      </c>
      <c r="O77" s="140">
        <f>IF(F77&lt;&gt;"",TEXT(F77,"yyyymmdd")&amp;"-"&amp;N77,"")</f>
        <v/>
      </c>
    </row>
    <row r="78" ht="15" customHeight="1" s="82">
      <c r="A78" s="83" t="n"/>
      <c r="B78" s="144">
        <f>IF(C78="","","POL-"&amp;TEXT(ROW()-4,"0000"))</f>
        <v/>
      </c>
      <c r="C78" s="144" t="n"/>
      <c r="D78" s="144" t="n"/>
      <c r="E78" s="144" t="n"/>
      <c r="F78" s="145" t="n"/>
      <c r="G78" s="144" t="n"/>
      <c r="H78" s="143">
        <f>IF(OR(G78="Renewed",G78=""),0,IF(TODAY()&gt;F78,TODAY()-F78,0))</f>
        <v/>
      </c>
      <c r="I78" s="144" t="n"/>
      <c r="J78" s="144" t="n"/>
      <c r="K78" s="83" t="n"/>
      <c r="L78" s="140">
        <f>IF(AND(G78&lt;&gt;"Renewed",F78&lt;&gt;"",F78&gt;=TODAY()),SUMPRODUCT(($G$5:$G$304&lt;&gt;"Renewed")*($F$5:$F$304&lt;&gt;"")*($F$5:$F$304&gt;=TODAY())*($F$5:$F$304&lt;F78))+SUMPRODUCT(($G$5:$G$304&lt;&gt;"Renewed")*($F$5:$F$304=F78)*(ROW($F$5:$F$304)&lt;ROW(F78)))+1,"")</f>
        <v/>
      </c>
      <c r="M78" s="140">
        <f>IF(H78&gt;0,SUMPRODUCT(($H$5:$H$304&gt;H78))+SUMPRODUCT(($H$5:$H$304=H78)*(ROW($H$5:$H$304)&lt;ROW(H78)))+1,"")</f>
        <v/>
      </c>
      <c r="N78" s="140">
        <f>IF(F78&lt;&gt;"",SUMPRODUCT(($F$5:$F$304=F78)*(ROW($F$5:$F$304)&lt;ROW(F78)))+1,"")</f>
        <v/>
      </c>
      <c r="O78" s="140">
        <f>IF(F78&lt;&gt;"",TEXT(F78,"yyyymmdd")&amp;"-"&amp;N78,"")</f>
        <v/>
      </c>
    </row>
    <row r="79" ht="15" customHeight="1" s="82">
      <c r="A79" s="83" t="n"/>
      <c r="B79" s="146">
        <f>IF(C79="","","POL-"&amp;TEXT(ROW()-4,"0000"))</f>
        <v/>
      </c>
      <c r="C79" s="146" t="n"/>
      <c r="D79" s="146" t="n"/>
      <c r="E79" s="146" t="n"/>
      <c r="F79" s="147" t="n"/>
      <c r="G79" s="146" t="n"/>
      <c r="H79" s="139">
        <f>IF(OR(G79="Renewed",G79=""),0,IF(TODAY()&gt;F79,TODAY()-F79,0))</f>
        <v/>
      </c>
      <c r="I79" s="146" t="n"/>
      <c r="J79" s="146" t="n"/>
      <c r="K79" s="83" t="n"/>
      <c r="L79" s="140">
        <f>IF(AND(G79&lt;&gt;"Renewed",F79&lt;&gt;"",F79&gt;=TODAY()),SUMPRODUCT(($G$5:$G$304&lt;&gt;"Renewed")*($F$5:$F$304&lt;&gt;"")*($F$5:$F$304&gt;=TODAY())*($F$5:$F$304&lt;F79))+SUMPRODUCT(($G$5:$G$304&lt;&gt;"Renewed")*($F$5:$F$304=F79)*(ROW($F$5:$F$304)&lt;ROW(F79)))+1,"")</f>
        <v/>
      </c>
      <c r="M79" s="140">
        <f>IF(H79&gt;0,SUMPRODUCT(($H$5:$H$304&gt;H79))+SUMPRODUCT(($H$5:$H$304=H79)*(ROW($H$5:$H$304)&lt;ROW(H79)))+1,"")</f>
        <v/>
      </c>
      <c r="N79" s="140">
        <f>IF(F79&lt;&gt;"",SUMPRODUCT(($F$5:$F$304=F79)*(ROW($F$5:$F$304)&lt;ROW(F79)))+1,"")</f>
        <v/>
      </c>
      <c r="O79" s="140">
        <f>IF(F79&lt;&gt;"",TEXT(F79,"yyyymmdd")&amp;"-"&amp;N79,"")</f>
        <v/>
      </c>
    </row>
    <row r="80" ht="15" customHeight="1" s="82">
      <c r="A80" s="83" t="n"/>
      <c r="B80" s="144">
        <f>IF(C80="","","POL-"&amp;TEXT(ROW()-4,"0000"))</f>
        <v/>
      </c>
      <c r="C80" s="144" t="n"/>
      <c r="D80" s="144" t="n"/>
      <c r="E80" s="144" t="n"/>
      <c r="F80" s="145" t="n"/>
      <c r="G80" s="144" t="n"/>
      <c r="H80" s="143">
        <f>IF(OR(G80="Renewed",G80=""),0,IF(TODAY()&gt;F80,TODAY()-F80,0))</f>
        <v/>
      </c>
      <c r="I80" s="144" t="n"/>
      <c r="J80" s="144" t="n"/>
      <c r="K80" s="83" t="n"/>
      <c r="L80" s="140">
        <f>IF(AND(G80&lt;&gt;"Renewed",F80&lt;&gt;"",F80&gt;=TODAY()),SUMPRODUCT(($G$5:$G$304&lt;&gt;"Renewed")*($F$5:$F$304&lt;&gt;"")*($F$5:$F$304&gt;=TODAY())*($F$5:$F$304&lt;F80))+SUMPRODUCT(($G$5:$G$304&lt;&gt;"Renewed")*($F$5:$F$304=F80)*(ROW($F$5:$F$304)&lt;ROW(F80)))+1,"")</f>
        <v/>
      </c>
      <c r="M80" s="140">
        <f>IF(H80&gt;0,SUMPRODUCT(($H$5:$H$304&gt;H80))+SUMPRODUCT(($H$5:$H$304=H80)*(ROW($H$5:$H$304)&lt;ROW(H80)))+1,"")</f>
        <v/>
      </c>
      <c r="N80" s="140">
        <f>IF(F80&lt;&gt;"",SUMPRODUCT(($F$5:$F$304=F80)*(ROW($F$5:$F$304)&lt;ROW(F80)))+1,"")</f>
        <v/>
      </c>
      <c r="O80" s="140">
        <f>IF(F80&lt;&gt;"",TEXT(F80,"yyyymmdd")&amp;"-"&amp;N80,"")</f>
        <v/>
      </c>
    </row>
    <row r="81" ht="15" customHeight="1" s="82">
      <c r="A81" s="83" t="n"/>
      <c r="B81" s="146">
        <f>IF(C81="","","POL-"&amp;TEXT(ROW()-4,"0000"))</f>
        <v/>
      </c>
      <c r="C81" s="146" t="n"/>
      <c r="D81" s="146" t="n"/>
      <c r="E81" s="146" t="n"/>
      <c r="F81" s="147" t="n"/>
      <c r="G81" s="146" t="n"/>
      <c r="H81" s="139">
        <f>IF(OR(G81="Renewed",G81=""),0,IF(TODAY()&gt;F81,TODAY()-F81,0))</f>
        <v/>
      </c>
      <c r="I81" s="146" t="n"/>
      <c r="J81" s="146" t="n"/>
      <c r="K81" s="83" t="n"/>
      <c r="L81" s="140">
        <f>IF(AND(G81&lt;&gt;"Renewed",F81&lt;&gt;"",F81&gt;=TODAY()),SUMPRODUCT(($G$5:$G$304&lt;&gt;"Renewed")*($F$5:$F$304&lt;&gt;"")*($F$5:$F$304&gt;=TODAY())*($F$5:$F$304&lt;F81))+SUMPRODUCT(($G$5:$G$304&lt;&gt;"Renewed")*($F$5:$F$304=F81)*(ROW($F$5:$F$304)&lt;ROW(F81)))+1,"")</f>
        <v/>
      </c>
      <c r="M81" s="140">
        <f>IF(H81&gt;0,SUMPRODUCT(($H$5:$H$304&gt;H81))+SUMPRODUCT(($H$5:$H$304=H81)*(ROW($H$5:$H$304)&lt;ROW(H81)))+1,"")</f>
        <v/>
      </c>
      <c r="N81" s="140">
        <f>IF(F81&lt;&gt;"",SUMPRODUCT(($F$5:$F$304=F81)*(ROW($F$5:$F$304)&lt;ROW(F81)))+1,"")</f>
        <v/>
      </c>
      <c r="O81" s="140">
        <f>IF(F81&lt;&gt;"",TEXT(F81,"yyyymmdd")&amp;"-"&amp;N81,"")</f>
        <v/>
      </c>
    </row>
    <row r="82" ht="15" customHeight="1" s="82">
      <c r="A82" s="83" t="n"/>
      <c r="B82" s="144">
        <f>IF(C82="","","POL-"&amp;TEXT(ROW()-4,"0000"))</f>
        <v/>
      </c>
      <c r="C82" s="144" t="n"/>
      <c r="D82" s="144" t="n"/>
      <c r="E82" s="144" t="n"/>
      <c r="F82" s="145" t="n"/>
      <c r="G82" s="144" t="n"/>
      <c r="H82" s="143">
        <f>IF(OR(G82="Renewed",G82=""),0,IF(TODAY()&gt;F82,TODAY()-F82,0))</f>
        <v/>
      </c>
      <c r="I82" s="144" t="n"/>
      <c r="J82" s="144" t="n"/>
      <c r="K82" s="83" t="n"/>
      <c r="L82" s="140">
        <f>IF(AND(G82&lt;&gt;"Renewed",F82&lt;&gt;"",F82&gt;=TODAY()),SUMPRODUCT(($G$5:$G$304&lt;&gt;"Renewed")*($F$5:$F$304&lt;&gt;"")*($F$5:$F$304&gt;=TODAY())*($F$5:$F$304&lt;F82))+SUMPRODUCT(($G$5:$G$304&lt;&gt;"Renewed")*($F$5:$F$304=F82)*(ROW($F$5:$F$304)&lt;ROW(F82)))+1,"")</f>
        <v/>
      </c>
      <c r="M82" s="140">
        <f>IF(H82&gt;0,SUMPRODUCT(($H$5:$H$304&gt;H82))+SUMPRODUCT(($H$5:$H$304=H82)*(ROW($H$5:$H$304)&lt;ROW(H82)))+1,"")</f>
        <v/>
      </c>
      <c r="N82" s="140">
        <f>IF(F82&lt;&gt;"",SUMPRODUCT(($F$5:$F$304=F82)*(ROW($F$5:$F$304)&lt;ROW(F82)))+1,"")</f>
        <v/>
      </c>
      <c r="O82" s="140">
        <f>IF(F82&lt;&gt;"",TEXT(F82,"yyyymmdd")&amp;"-"&amp;N82,"")</f>
        <v/>
      </c>
    </row>
    <row r="83" ht="15" customHeight="1" s="82">
      <c r="A83" s="83" t="n"/>
      <c r="B83" s="146">
        <f>IF(C83="","","POL-"&amp;TEXT(ROW()-4,"0000"))</f>
        <v/>
      </c>
      <c r="C83" s="146" t="n"/>
      <c r="D83" s="146" t="n"/>
      <c r="E83" s="146" t="n"/>
      <c r="F83" s="147" t="n"/>
      <c r="G83" s="146" t="n"/>
      <c r="H83" s="139">
        <f>IF(OR(G83="Renewed",G83=""),0,IF(TODAY()&gt;F83,TODAY()-F83,0))</f>
        <v/>
      </c>
      <c r="I83" s="146" t="n"/>
      <c r="J83" s="146" t="n"/>
      <c r="K83" s="83" t="n"/>
      <c r="L83" s="140">
        <f>IF(AND(G83&lt;&gt;"Renewed",F83&lt;&gt;"",F83&gt;=TODAY()),SUMPRODUCT(($G$5:$G$304&lt;&gt;"Renewed")*($F$5:$F$304&lt;&gt;"")*($F$5:$F$304&gt;=TODAY())*($F$5:$F$304&lt;F83))+SUMPRODUCT(($G$5:$G$304&lt;&gt;"Renewed")*($F$5:$F$304=F83)*(ROW($F$5:$F$304)&lt;ROW(F83)))+1,"")</f>
        <v/>
      </c>
      <c r="M83" s="140">
        <f>IF(H83&gt;0,SUMPRODUCT(($H$5:$H$304&gt;H83))+SUMPRODUCT(($H$5:$H$304=H83)*(ROW($H$5:$H$304)&lt;ROW(H83)))+1,"")</f>
        <v/>
      </c>
      <c r="N83" s="140">
        <f>IF(F83&lt;&gt;"",SUMPRODUCT(($F$5:$F$304=F83)*(ROW($F$5:$F$304)&lt;ROW(F83)))+1,"")</f>
        <v/>
      </c>
      <c r="O83" s="140">
        <f>IF(F83&lt;&gt;"",TEXT(F83,"yyyymmdd")&amp;"-"&amp;N83,"")</f>
        <v/>
      </c>
    </row>
    <row r="84" ht="15" customHeight="1" s="82">
      <c r="A84" s="83" t="n"/>
      <c r="B84" s="144">
        <f>IF(C84="","","POL-"&amp;TEXT(ROW()-4,"0000"))</f>
        <v/>
      </c>
      <c r="C84" s="144" t="n"/>
      <c r="D84" s="144" t="n"/>
      <c r="E84" s="144" t="n"/>
      <c r="F84" s="145" t="n"/>
      <c r="G84" s="144" t="n"/>
      <c r="H84" s="143">
        <f>IF(OR(G84="Renewed",G84=""),0,IF(TODAY()&gt;F84,TODAY()-F84,0))</f>
        <v/>
      </c>
      <c r="I84" s="144" t="n"/>
      <c r="J84" s="144" t="n"/>
      <c r="K84" s="83" t="n"/>
      <c r="L84" s="140">
        <f>IF(AND(G84&lt;&gt;"Renewed",F84&lt;&gt;"",F84&gt;=TODAY()),SUMPRODUCT(($G$5:$G$304&lt;&gt;"Renewed")*($F$5:$F$304&lt;&gt;"")*($F$5:$F$304&gt;=TODAY())*($F$5:$F$304&lt;F84))+SUMPRODUCT(($G$5:$G$304&lt;&gt;"Renewed")*($F$5:$F$304=F84)*(ROW($F$5:$F$304)&lt;ROW(F84)))+1,"")</f>
        <v/>
      </c>
      <c r="M84" s="140">
        <f>IF(H84&gt;0,SUMPRODUCT(($H$5:$H$304&gt;H84))+SUMPRODUCT(($H$5:$H$304=H84)*(ROW($H$5:$H$304)&lt;ROW(H84)))+1,"")</f>
        <v/>
      </c>
      <c r="N84" s="140">
        <f>IF(F84&lt;&gt;"",SUMPRODUCT(($F$5:$F$304=F84)*(ROW($F$5:$F$304)&lt;ROW(F84)))+1,"")</f>
        <v/>
      </c>
      <c r="O84" s="140">
        <f>IF(F84&lt;&gt;"",TEXT(F84,"yyyymmdd")&amp;"-"&amp;N84,"")</f>
        <v/>
      </c>
    </row>
    <row r="85" ht="15" customHeight="1" s="82">
      <c r="A85" s="83" t="n"/>
      <c r="B85" s="146">
        <f>IF(C85="","","POL-"&amp;TEXT(ROW()-4,"0000"))</f>
        <v/>
      </c>
      <c r="C85" s="146" t="n"/>
      <c r="D85" s="146" t="n"/>
      <c r="E85" s="146" t="n"/>
      <c r="F85" s="147" t="n"/>
      <c r="G85" s="146" t="n"/>
      <c r="H85" s="139">
        <f>IF(OR(G85="Renewed",G85=""),0,IF(TODAY()&gt;F85,TODAY()-F85,0))</f>
        <v/>
      </c>
      <c r="I85" s="146" t="n"/>
      <c r="J85" s="146" t="n"/>
      <c r="K85" s="83" t="n"/>
      <c r="L85" s="140">
        <f>IF(AND(G85&lt;&gt;"Renewed",F85&lt;&gt;"",F85&gt;=TODAY()),SUMPRODUCT(($G$5:$G$304&lt;&gt;"Renewed")*($F$5:$F$304&lt;&gt;"")*($F$5:$F$304&gt;=TODAY())*($F$5:$F$304&lt;F85))+SUMPRODUCT(($G$5:$G$304&lt;&gt;"Renewed")*($F$5:$F$304=F85)*(ROW($F$5:$F$304)&lt;ROW(F85)))+1,"")</f>
        <v/>
      </c>
      <c r="M85" s="140">
        <f>IF(H85&gt;0,SUMPRODUCT(($H$5:$H$304&gt;H85))+SUMPRODUCT(($H$5:$H$304=H85)*(ROW($H$5:$H$304)&lt;ROW(H85)))+1,"")</f>
        <v/>
      </c>
      <c r="N85" s="140">
        <f>IF(F85&lt;&gt;"",SUMPRODUCT(($F$5:$F$304=F85)*(ROW($F$5:$F$304)&lt;ROW(F85)))+1,"")</f>
        <v/>
      </c>
      <c r="O85" s="140">
        <f>IF(F85&lt;&gt;"",TEXT(F85,"yyyymmdd")&amp;"-"&amp;N85,"")</f>
        <v/>
      </c>
    </row>
    <row r="86" ht="15" customHeight="1" s="82">
      <c r="A86" s="83" t="n"/>
      <c r="B86" s="144">
        <f>IF(C86="","","POL-"&amp;TEXT(ROW()-4,"0000"))</f>
        <v/>
      </c>
      <c r="C86" s="144" t="n"/>
      <c r="D86" s="144" t="n"/>
      <c r="E86" s="144" t="n"/>
      <c r="F86" s="145" t="n"/>
      <c r="G86" s="144" t="n"/>
      <c r="H86" s="143">
        <f>IF(OR(G86="Renewed",G86=""),0,IF(TODAY()&gt;F86,TODAY()-F86,0))</f>
        <v/>
      </c>
      <c r="I86" s="144" t="n"/>
      <c r="J86" s="144" t="n"/>
      <c r="K86" s="83" t="n"/>
      <c r="L86" s="140">
        <f>IF(AND(G86&lt;&gt;"Renewed",F86&lt;&gt;"",F86&gt;=TODAY()),SUMPRODUCT(($G$5:$G$304&lt;&gt;"Renewed")*($F$5:$F$304&lt;&gt;"")*($F$5:$F$304&gt;=TODAY())*($F$5:$F$304&lt;F86))+SUMPRODUCT(($G$5:$G$304&lt;&gt;"Renewed")*($F$5:$F$304=F86)*(ROW($F$5:$F$304)&lt;ROW(F86)))+1,"")</f>
        <v/>
      </c>
      <c r="M86" s="140">
        <f>IF(H86&gt;0,SUMPRODUCT(($H$5:$H$304&gt;H86))+SUMPRODUCT(($H$5:$H$304=H86)*(ROW($H$5:$H$304)&lt;ROW(H86)))+1,"")</f>
        <v/>
      </c>
      <c r="N86" s="140">
        <f>IF(F86&lt;&gt;"",SUMPRODUCT(($F$5:$F$304=F86)*(ROW($F$5:$F$304)&lt;ROW(F86)))+1,"")</f>
        <v/>
      </c>
      <c r="O86" s="140">
        <f>IF(F86&lt;&gt;"",TEXT(F86,"yyyymmdd")&amp;"-"&amp;N86,"")</f>
        <v/>
      </c>
    </row>
    <row r="87" ht="15" customHeight="1" s="82">
      <c r="A87" s="83" t="n"/>
      <c r="B87" s="146">
        <f>IF(C87="","","POL-"&amp;TEXT(ROW()-4,"0000"))</f>
        <v/>
      </c>
      <c r="C87" s="146" t="n"/>
      <c r="D87" s="146" t="n"/>
      <c r="E87" s="146" t="n"/>
      <c r="F87" s="147" t="n"/>
      <c r="G87" s="146" t="n"/>
      <c r="H87" s="139">
        <f>IF(OR(G87="Renewed",G87=""),0,IF(TODAY()&gt;F87,TODAY()-F87,0))</f>
        <v/>
      </c>
      <c r="I87" s="146" t="n"/>
      <c r="J87" s="146" t="n"/>
      <c r="K87" s="83" t="n"/>
      <c r="L87" s="140">
        <f>IF(AND(G87&lt;&gt;"Renewed",F87&lt;&gt;"",F87&gt;=TODAY()),SUMPRODUCT(($G$5:$G$304&lt;&gt;"Renewed")*($F$5:$F$304&lt;&gt;"")*($F$5:$F$304&gt;=TODAY())*($F$5:$F$304&lt;F87))+SUMPRODUCT(($G$5:$G$304&lt;&gt;"Renewed")*($F$5:$F$304=F87)*(ROW($F$5:$F$304)&lt;ROW(F87)))+1,"")</f>
        <v/>
      </c>
      <c r="M87" s="140">
        <f>IF(H87&gt;0,SUMPRODUCT(($H$5:$H$304&gt;H87))+SUMPRODUCT(($H$5:$H$304=H87)*(ROW($H$5:$H$304)&lt;ROW(H87)))+1,"")</f>
        <v/>
      </c>
      <c r="N87" s="140">
        <f>IF(F87&lt;&gt;"",SUMPRODUCT(($F$5:$F$304=F87)*(ROW($F$5:$F$304)&lt;ROW(F87)))+1,"")</f>
        <v/>
      </c>
      <c r="O87" s="140">
        <f>IF(F87&lt;&gt;"",TEXT(F87,"yyyymmdd")&amp;"-"&amp;N87,"")</f>
        <v/>
      </c>
    </row>
    <row r="88" ht="15" customHeight="1" s="82">
      <c r="A88" s="83" t="n"/>
      <c r="B88" s="144">
        <f>IF(C88="","","POL-"&amp;TEXT(ROW()-4,"0000"))</f>
        <v/>
      </c>
      <c r="C88" s="144" t="n"/>
      <c r="D88" s="144" t="n"/>
      <c r="E88" s="144" t="n"/>
      <c r="F88" s="145" t="n"/>
      <c r="G88" s="144" t="n"/>
      <c r="H88" s="143">
        <f>IF(OR(G88="Renewed",G88=""),0,IF(TODAY()&gt;F88,TODAY()-F88,0))</f>
        <v/>
      </c>
      <c r="I88" s="144" t="n"/>
      <c r="J88" s="144" t="n"/>
      <c r="K88" s="83" t="n"/>
      <c r="L88" s="140">
        <f>IF(AND(G88&lt;&gt;"Renewed",F88&lt;&gt;"",F88&gt;=TODAY()),SUMPRODUCT(($G$5:$G$304&lt;&gt;"Renewed")*($F$5:$F$304&lt;&gt;"")*($F$5:$F$304&gt;=TODAY())*($F$5:$F$304&lt;F88))+SUMPRODUCT(($G$5:$G$304&lt;&gt;"Renewed")*($F$5:$F$304=F88)*(ROW($F$5:$F$304)&lt;ROW(F88)))+1,"")</f>
        <v/>
      </c>
      <c r="M88" s="140">
        <f>IF(H88&gt;0,SUMPRODUCT(($H$5:$H$304&gt;H88))+SUMPRODUCT(($H$5:$H$304=H88)*(ROW($H$5:$H$304)&lt;ROW(H88)))+1,"")</f>
        <v/>
      </c>
      <c r="N88" s="140">
        <f>IF(F88&lt;&gt;"",SUMPRODUCT(($F$5:$F$304=F88)*(ROW($F$5:$F$304)&lt;ROW(F88)))+1,"")</f>
        <v/>
      </c>
      <c r="O88" s="140">
        <f>IF(F88&lt;&gt;"",TEXT(F88,"yyyymmdd")&amp;"-"&amp;N88,"")</f>
        <v/>
      </c>
    </row>
    <row r="89" ht="15" customHeight="1" s="82">
      <c r="A89" s="83" t="n"/>
      <c r="B89" s="146">
        <f>IF(C89="","","POL-"&amp;TEXT(ROW()-4,"0000"))</f>
        <v/>
      </c>
      <c r="C89" s="146" t="n"/>
      <c r="D89" s="146" t="n"/>
      <c r="E89" s="146" t="n"/>
      <c r="F89" s="147" t="n"/>
      <c r="G89" s="146" t="n"/>
      <c r="H89" s="139">
        <f>IF(OR(G89="Renewed",G89=""),0,IF(TODAY()&gt;F89,TODAY()-F89,0))</f>
        <v/>
      </c>
      <c r="I89" s="146" t="n"/>
      <c r="J89" s="146" t="n"/>
      <c r="K89" s="83" t="n"/>
      <c r="L89" s="140">
        <f>IF(AND(G89&lt;&gt;"Renewed",F89&lt;&gt;"",F89&gt;=TODAY()),SUMPRODUCT(($G$5:$G$304&lt;&gt;"Renewed")*($F$5:$F$304&lt;&gt;"")*($F$5:$F$304&gt;=TODAY())*($F$5:$F$304&lt;F89))+SUMPRODUCT(($G$5:$G$304&lt;&gt;"Renewed")*($F$5:$F$304=F89)*(ROW($F$5:$F$304)&lt;ROW(F89)))+1,"")</f>
        <v/>
      </c>
      <c r="M89" s="140">
        <f>IF(H89&gt;0,SUMPRODUCT(($H$5:$H$304&gt;H89))+SUMPRODUCT(($H$5:$H$304=H89)*(ROW($H$5:$H$304)&lt;ROW(H89)))+1,"")</f>
        <v/>
      </c>
      <c r="N89" s="140">
        <f>IF(F89&lt;&gt;"",SUMPRODUCT(($F$5:$F$304=F89)*(ROW($F$5:$F$304)&lt;ROW(F89)))+1,"")</f>
        <v/>
      </c>
      <c r="O89" s="140">
        <f>IF(F89&lt;&gt;"",TEXT(F89,"yyyymmdd")&amp;"-"&amp;N89,"")</f>
        <v/>
      </c>
    </row>
    <row r="90" ht="15" customHeight="1" s="82">
      <c r="A90" s="83" t="n"/>
      <c r="B90" s="144">
        <f>IF(C90="","","POL-"&amp;TEXT(ROW()-4,"0000"))</f>
        <v/>
      </c>
      <c r="C90" s="144" t="n"/>
      <c r="D90" s="144" t="n"/>
      <c r="E90" s="144" t="n"/>
      <c r="F90" s="145" t="n"/>
      <c r="G90" s="144" t="n"/>
      <c r="H90" s="143">
        <f>IF(OR(G90="Renewed",G90=""),0,IF(TODAY()&gt;F90,TODAY()-F90,0))</f>
        <v/>
      </c>
      <c r="I90" s="144" t="n"/>
      <c r="J90" s="144" t="n"/>
      <c r="K90" s="83" t="n"/>
      <c r="L90" s="140">
        <f>IF(AND(G90&lt;&gt;"Renewed",F90&lt;&gt;"",F90&gt;=TODAY()),SUMPRODUCT(($G$5:$G$304&lt;&gt;"Renewed")*($F$5:$F$304&lt;&gt;"")*($F$5:$F$304&gt;=TODAY())*($F$5:$F$304&lt;F90))+SUMPRODUCT(($G$5:$G$304&lt;&gt;"Renewed")*($F$5:$F$304=F90)*(ROW($F$5:$F$304)&lt;ROW(F90)))+1,"")</f>
        <v/>
      </c>
      <c r="M90" s="140">
        <f>IF(H90&gt;0,SUMPRODUCT(($H$5:$H$304&gt;H90))+SUMPRODUCT(($H$5:$H$304=H90)*(ROW($H$5:$H$304)&lt;ROW(H90)))+1,"")</f>
        <v/>
      </c>
      <c r="N90" s="140">
        <f>IF(F90&lt;&gt;"",SUMPRODUCT(($F$5:$F$304=F90)*(ROW($F$5:$F$304)&lt;ROW(F90)))+1,"")</f>
        <v/>
      </c>
      <c r="O90" s="140">
        <f>IF(F90&lt;&gt;"",TEXT(F90,"yyyymmdd")&amp;"-"&amp;N90,"")</f>
        <v/>
      </c>
    </row>
    <row r="91" ht="15" customHeight="1" s="82">
      <c r="A91" s="83" t="n"/>
      <c r="B91" s="146">
        <f>IF(C91="","","POL-"&amp;TEXT(ROW()-4,"0000"))</f>
        <v/>
      </c>
      <c r="C91" s="146" t="n"/>
      <c r="D91" s="146" t="n"/>
      <c r="E91" s="146" t="n"/>
      <c r="F91" s="147" t="n"/>
      <c r="G91" s="146" t="n"/>
      <c r="H91" s="139">
        <f>IF(OR(G91="Renewed",G91=""),0,IF(TODAY()&gt;F91,TODAY()-F91,0))</f>
        <v/>
      </c>
      <c r="I91" s="146" t="n"/>
      <c r="J91" s="146" t="n"/>
      <c r="K91" s="83" t="n"/>
      <c r="L91" s="140">
        <f>IF(AND(G91&lt;&gt;"Renewed",F91&lt;&gt;"",F91&gt;=TODAY()),SUMPRODUCT(($G$5:$G$304&lt;&gt;"Renewed")*($F$5:$F$304&lt;&gt;"")*($F$5:$F$304&gt;=TODAY())*($F$5:$F$304&lt;F91))+SUMPRODUCT(($G$5:$G$304&lt;&gt;"Renewed")*($F$5:$F$304=F91)*(ROW($F$5:$F$304)&lt;ROW(F91)))+1,"")</f>
        <v/>
      </c>
      <c r="M91" s="140">
        <f>IF(H91&gt;0,SUMPRODUCT(($H$5:$H$304&gt;H91))+SUMPRODUCT(($H$5:$H$304=H91)*(ROW($H$5:$H$304)&lt;ROW(H91)))+1,"")</f>
        <v/>
      </c>
      <c r="N91" s="140">
        <f>IF(F91&lt;&gt;"",SUMPRODUCT(($F$5:$F$304=F91)*(ROW($F$5:$F$304)&lt;ROW(F91)))+1,"")</f>
        <v/>
      </c>
      <c r="O91" s="140">
        <f>IF(F91&lt;&gt;"",TEXT(F91,"yyyymmdd")&amp;"-"&amp;N91,"")</f>
        <v/>
      </c>
    </row>
    <row r="92" ht="15" customHeight="1" s="82">
      <c r="A92" s="83" t="n"/>
      <c r="B92" s="144">
        <f>IF(C92="","","POL-"&amp;TEXT(ROW()-4,"0000"))</f>
        <v/>
      </c>
      <c r="C92" s="144" t="n"/>
      <c r="D92" s="144" t="n"/>
      <c r="E92" s="144" t="n"/>
      <c r="F92" s="145" t="n"/>
      <c r="G92" s="144" t="n"/>
      <c r="H92" s="143">
        <f>IF(OR(G92="Renewed",G92=""),0,IF(TODAY()&gt;F92,TODAY()-F92,0))</f>
        <v/>
      </c>
      <c r="I92" s="144" t="n"/>
      <c r="J92" s="144" t="n"/>
      <c r="K92" s="83" t="n"/>
      <c r="L92" s="140">
        <f>IF(AND(G92&lt;&gt;"Renewed",F92&lt;&gt;"",F92&gt;=TODAY()),SUMPRODUCT(($G$5:$G$304&lt;&gt;"Renewed")*($F$5:$F$304&lt;&gt;"")*($F$5:$F$304&gt;=TODAY())*($F$5:$F$304&lt;F92))+SUMPRODUCT(($G$5:$G$304&lt;&gt;"Renewed")*($F$5:$F$304=F92)*(ROW($F$5:$F$304)&lt;ROW(F92)))+1,"")</f>
        <v/>
      </c>
      <c r="M92" s="140">
        <f>IF(H92&gt;0,SUMPRODUCT(($H$5:$H$304&gt;H92))+SUMPRODUCT(($H$5:$H$304=H92)*(ROW($H$5:$H$304)&lt;ROW(H92)))+1,"")</f>
        <v/>
      </c>
      <c r="N92" s="140">
        <f>IF(F92&lt;&gt;"",SUMPRODUCT(($F$5:$F$304=F92)*(ROW($F$5:$F$304)&lt;ROW(F92)))+1,"")</f>
        <v/>
      </c>
      <c r="O92" s="140">
        <f>IF(F92&lt;&gt;"",TEXT(F92,"yyyymmdd")&amp;"-"&amp;N92,"")</f>
        <v/>
      </c>
    </row>
    <row r="93" ht="15" customHeight="1" s="82">
      <c r="A93" s="83" t="n"/>
      <c r="B93" s="146">
        <f>IF(C93="","","POL-"&amp;TEXT(ROW()-4,"0000"))</f>
        <v/>
      </c>
      <c r="C93" s="146" t="n"/>
      <c r="D93" s="146" t="n"/>
      <c r="E93" s="146" t="n"/>
      <c r="F93" s="147" t="n"/>
      <c r="G93" s="146" t="n"/>
      <c r="H93" s="139">
        <f>IF(OR(G93="Renewed",G93=""),0,IF(TODAY()&gt;F93,TODAY()-F93,0))</f>
        <v/>
      </c>
      <c r="I93" s="146" t="n"/>
      <c r="J93" s="146" t="n"/>
      <c r="K93" s="83" t="n"/>
      <c r="L93" s="140">
        <f>IF(AND(G93&lt;&gt;"Renewed",F93&lt;&gt;"",F93&gt;=TODAY()),SUMPRODUCT(($G$5:$G$304&lt;&gt;"Renewed")*($F$5:$F$304&lt;&gt;"")*($F$5:$F$304&gt;=TODAY())*($F$5:$F$304&lt;F93))+SUMPRODUCT(($G$5:$G$304&lt;&gt;"Renewed")*($F$5:$F$304=F93)*(ROW($F$5:$F$304)&lt;ROW(F93)))+1,"")</f>
        <v/>
      </c>
      <c r="M93" s="140">
        <f>IF(H93&gt;0,SUMPRODUCT(($H$5:$H$304&gt;H93))+SUMPRODUCT(($H$5:$H$304=H93)*(ROW($H$5:$H$304)&lt;ROW(H93)))+1,"")</f>
        <v/>
      </c>
      <c r="N93" s="140">
        <f>IF(F93&lt;&gt;"",SUMPRODUCT(($F$5:$F$304=F93)*(ROW($F$5:$F$304)&lt;ROW(F93)))+1,"")</f>
        <v/>
      </c>
      <c r="O93" s="140">
        <f>IF(F93&lt;&gt;"",TEXT(F93,"yyyymmdd")&amp;"-"&amp;N93,"")</f>
        <v/>
      </c>
    </row>
    <row r="94" ht="15" customHeight="1" s="82">
      <c r="A94" s="83" t="n"/>
      <c r="B94" s="144">
        <f>IF(C94="","","POL-"&amp;TEXT(ROW()-4,"0000"))</f>
        <v/>
      </c>
      <c r="C94" s="144" t="n"/>
      <c r="D94" s="144" t="n"/>
      <c r="E94" s="144" t="n"/>
      <c r="F94" s="145" t="n"/>
      <c r="G94" s="144" t="n"/>
      <c r="H94" s="143">
        <f>IF(OR(G94="Renewed",G94=""),0,IF(TODAY()&gt;F94,TODAY()-F94,0))</f>
        <v/>
      </c>
      <c r="I94" s="144" t="n"/>
      <c r="J94" s="144" t="n"/>
      <c r="K94" s="83" t="n"/>
      <c r="L94" s="140">
        <f>IF(AND(G94&lt;&gt;"Renewed",F94&lt;&gt;"",F94&gt;=TODAY()),SUMPRODUCT(($G$5:$G$304&lt;&gt;"Renewed")*($F$5:$F$304&lt;&gt;"")*($F$5:$F$304&gt;=TODAY())*($F$5:$F$304&lt;F94))+SUMPRODUCT(($G$5:$G$304&lt;&gt;"Renewed")*($F$5:$F$304=F94)*(ROW($F$5:$F$304)&lt;ROW(F94)))+1,"")</f>
        <v/>
      </c>
      <c r="M94" s="140">
        <f>IF(H94&gt;0,SUMPRODUCT(($H$5:$H$304&gt;H94))+SUMPRODUCT(($H$5:$H$304=H94)*(ROW($H$5:$H$304)&lt;ROW(H94)))+1,"")</f>
        <v/>
      </c>
      <c r="N94" s="140">
        <f>IF(F94&lt;&gt;"",SUMPRODUCT(($F$5:$F$304=F94)*(ROW($F$5:$F$304)&lt;ROW(F94)))+1,"")</f>
        <v/>
      </c>
      <c r="O94" s="140">
        <f>IF(F94&lt;&gt;"",TEXT(F94,"yyyymmdd")&amp;"-"&amp;N94,"")</f>
        <v/>
      </c>
    </row>
    <row r="95" ht="15" customHeight="1" s="82">
      <c r="A95" s="83" t="n"/>
      <c r="B95" s="146">
        <f>IF(C95="","","POL-"&amp;TEXT(ROW()-4,"0000"))</f>
        <v/>
      </c>
      <c r="C95" s="146" t="n"/>
      <c r="D95" s="146" t="n"/>
      <c r="E95" s="146" t="n"/>
      <c r="F95" s="147" t="n"/>
      <c r="G95" s="146" t="n"/>
      <c r="H95" s="139">
        <f>IF(OR(G95="Renewed",G95=""),0,IF(TODAY()&gt;F95,TODAY()-F95,0))</f>
        <v/>
      </c>
      <c r="I95" s="146" t="n"/>
      <c r="J95" s="146" t="n"/>
      <c r="K95" s="83" t="n"/>
      <c r="L95" s="140">
        <f>IF(AND(G95&lt;&gt;"Renewed",F95&lt;&gt;"",F95&gt;=TODAY()),SUMPRODUCT(($G$5:$G$304&lt;&gt;"Renewed")*($F$5:$F$304&lt;&gt;"")*($F$5:$F$304&gt;=TODAY())*($F$5:$F$304&lt;F95))+SUMPRODUCT(($G$5:$G$304&lt;&gt;"Renewed")*($F$5:$F$304=F95)*(ROW($F$5:$F$304)&lt;ROW(F95)))+1,"")</f>
        <v/>
      </c>
      <c r="M95" s="140">
        <f>IF(H95&gt;0,SUMPRODUCT(($H$5:$H$304&gt;H95))+SUMPRODUCT(($H$5:$H$304=H95)*(ROW($H$5:$H$304)&lt;ROW(H95)))+1,"")</f>
        <v/>
      </c>
      <c r="N95" s="140">
        <f>IF(F95&lt;&gt;"",SUMPRODUCT(($F$5:$F$304=F95)*(ROW($F$5:$F$304)&lt;ROW(F95)))+1,"")</f>
        <v/>
      </c>
      <c r="O95" s="140">
        <f>IF(F95&lt;&gt;"",TEXT(F95,"yyyymmdd")&amp;"-"&amp;N95,"")</f>
        <v/>
      </c>
    </row>
    <row r="96" ht="15" customHeight="1" s="82">
      <c r="A96" s="83" t="n"/>
      <c r="B96" s="144">
        <f>IF(C96="","","POL-"&amp;TEXT(ROW()-4,"0000"))</f>
        <v/>
      </c>
      <c r="C96" s="144" t="n"/>
      <c r="D96" s="144" t="n"/>
      <c r="E96" s="144" t="n"/>
      <c r="F96" s="145" t="n"/>
      <c r="G96" s="144" t="n"/>
      <c r="H96" s="143">
        <f>IF(OR(G96="Renewed",G96=""),0,IF(TODAY()&gt;F96,TODAY()-F96,0))</f>
        <v/>
      </c>
      <c r="I96" s="144" t="n"/>
      <c r="J96" s="144" t="n"/>
      <c r="K96" s="83" t="n"/>
      <c r="L96" s="140">
        <f>IF(AND(G96&lt;&gt;"Renewed",F96&lt;&gt;"",F96&gt;=TODAY()),SUMPRODUCT(($G$5:$G$304&lt;&gt;"Renewed")*($F$5:$F$304&lt;&gt;"")*($F$5:$F$304&gt;=TODAY())*($F$5:$F$304&lt;F96))+SUMPRODUCT(($G$5:$G$304&lt;&gt;"Renewed")*($F$5:$F$304=F96)*(ROW($F$5:$F$304)&lt;ROW(F96)))+1,"")</f>
        <v/>
      </c>
      <c r="M96" s="140">
        <f>IF(H96&gt;0,SUMPRODUCT(($H$5:$H$304&gt;H96))+SUMPRODUCT(($H$5:$H$304=H96)*(ROW($H$5:$H$304)&lt;ROW(H96)))+1,"")</f>
        <v/>
      </c>
      <c r="N96" s="140">
        <f>IF(F96&lt;&gt;"",SUMPRODUCT(($F$5:$F$304=F96)*(ROW($F$5:$F$304)&lt;ROW(F96)))+1,"")</f>
        <v/>
      </c>
      <c r="O96" s="140">
        <f>IF(F96&lt;&gt;"",TEXT(F96,"yyyymmdd")&amp;"-"&amp;N96,"")</f>
        <v/>
      </c>
    </row>
    <row r="97" ht="15" customHeight="1" s="82">
      <c r="A97" s="83" t="n"/>
      <c r="B97" s="146">
        <f>IF(C97="","","POL-"&amp;TEXT(ROW()-4,"0000"))</f>
        <v/>
      </c>
      <c r="C97" s="146" t="n"/>
      <c r="D97" s="146" t="n"/>
      <c r="E97" s="146" t="n"/>
      <c r="F97" s="147" t="n"/>
      <c r="G97" s="146" t="n"/>
      <c r="H97" s="139">
        <f>IF(OR(G97="Renewed",G97=""),0,IF(TODAY()&gt;F97,TODAY()-F97,0))</f>
        <v/>
      </c>
      <c r="I97" s="146" t="n"/>
      <c r="J97" s="146" t="n"/>
      <c r="K97" s="83" t="n"/>
      <c r="L97" s="140">
        <f>IF(AND(G97&lt;&gt;"Renewed",F97&lt;&gt;"",F97&gt;=TODAY()),SUMPRODUCT(($G$5:$G$304&lt;&gt;"Renewed")*($F$5:$F$304&lt;&gt;"")*($F$5:$F$304&gt;=TODAY())*($F$5:$F$304&lt;F97))+SUMPRODUCT(($G$5:$G$304&lt;&gt;"Renewed")*($F$5:$F$304=F97)*(ROW($F$5:$F$304)&lt;ROW(F97)))+1,"")</f>
        <v/>
      </c>
      <c r="M97" s="140">
        <f>IF(H97&gt;0,SUMPRODUCT(($H$5:$H$304&gt;H97))+SUMPRODUCT(($H$5:$H$304=H97)*(ROW($H$5:$H$304)&lt;ROW(H97)))+1,"")</f>
        <v/>
      </c>
      <c r="N97" s="140">
        <f>IF(F97&lt;&gt;"",SUMPRODUCT(($F$5:$F$304=F97)*(ROW($F$5:$F$304)&lt;ROW(F97)))+1,"")</f>
        <v/>
      </c>
      <c r="O97" s="140">
        <f>IF(F97&lt;&gt;"",TEXT(F97,"yyyymmdd")&amp;"-"&amp;N97,"")</f>
        <v/>
      </c>
    </row>
    <row r="98" ht="15" customHeight="1" s="82">
      <c r="A98" s="83" t="n"/>
      <c r="B98" s="144">
        <f>IF(C98="","","POL-"&amp;TEXT(ROW()-4,"0000"))</f>
        <v/>
      </c>
      <c r="C98" s="144" t="n"/>
      <c r="D98" s="144" t="n"/>
      <c r="E98" s="144" t="n"/>
      <c r="F98" s="145" t="n"/>
      <c r="G98" s="144" t="n"/>
      <c r="H98" s="143">
        <f>IF(OR(G98="Renewed",G98=""),0,IF(TODAY()&gt;F98,TODAY()-F98,0))</f>
        <v/>
      </c>
      <c r="I98" s="144" t="n"/>
      <c r="J98" s="144" t="n"/>
      <c r="K98" s="83" t="n"/>
      <c r="L98" s="140">
        <f>IF(AND(G98&lt;&gt;"Renewed",F98&lt;&gt;"",F98&gt;=TODAY()),SUMPRODUCT(($G$5:$G$304&lt;&gt;"Renewed")*($F$5:$F$304&lt;&gt;"")*($F$5:$F$304&gt;=TODAY())*($F$5:$F$304&lt;F98))+SUMPRODUCT(($G$5:$G$304&lt;&gt;"Renewed")*($F$5:$F$304=F98)*(ROW($F$5:$F$304)&lt;ROW(F98)))+1,"")</f>
        <v/>
      </c>
      <c r="M98" s="140">
        <f>IF(H98&gt;0,SUMPRODUCT(($H$5:$H$304&gt;H98))+SUMPRODUCT(($H$5:$H$304=H98)*(ROW($H$5:$H$304)&lt;ROW(H98)))+1,"")</f>
        <v/>
      </c>
      <c r="N98" s="140">
        <f>IF(F98&lt;&gt;"",SUMPRODUCT(($F$5:$F$304=F98)*(ROW($F$5:$F$304)&lt;ROW(F98)))+1,"")</f>
        <v/>
      </c>
      <c r="O98" s="140">
        <f>IF(F98&lt;&gt;"",TEXT(F98,"yyyymmdd")&amp;"-"&amp;N98,"")</f>
        <v/>
      </c>
    </row>
    <row r="99" ht="15" customHeight="1" s="82">
      <c r="A99" s="83" t="n"/>
      <c r="B99" s="146">
        <f>IF(C99="","","POL-"&amp;TEXT(ROW()-4,"0000"))</f>
        <v/>
      </c>
      <c r="C99" s="146" t="n"/>
      <c r="D99" s="146" t="n"/>
      <c r="E99" s="146" t="n"/>
      <c r="F99" s="147" t="n"/>
      <c r="G99" s="146" t="n"/>
      <c r="H99" s="139">
        <f>IF(OR(G99="Renewed",G99=""),0,IF(TODAY()&gt;F99,TODAY()-F99,0))</f>
        <v/>
      </c>
      <c r="I99" s="146" t="n"/>
      <c r="J99" s="146" t="n"/>
      <c r="K99" s="83" t="n"/>
      <c r="L99" s="140">
        <f>IF(AND(G99&lt;&gt;"Renewed",F99&lt;&gt;"",F99&gt;=TODAY()),SUMPRODUCT(($G$5:$G$304&lt;&gt;"Renewed")*($F$5:$F$304&lt;&gt;"")*($F$5:$F$304&gt;=TODAY())*($F$5:$F$304&lt;F99))+SUMPRODUCT(($G$5:$G$304&lt;&gt;"Renewed")*($F$5:$F$304=F99)*(ROW($F$5:$F$304)&lt;ROW(F99)))+1,"")</f>
        <v/>
      </c>
      <c r="M99" s="140">
        <f>IF(H99&gt;0,SUMPRODUCT(($H$5:$H$304&gt;H99))+SUMPRODUCT(($H$5:$H$304=H99)*(ROW($H$5:$H$304)&lt;ROW(H99)))+1,"")</f>
        <v/>
      </c>
      <c r="N99" s="140">
        <f>IF(F99&lt;&gt;"",SUMPRODUCT(($F$5:$F$304=F99)*(ROW($F$5:$F$304)&lt;ROW(F99)))+1,"")</f>
        <v/>
      </c>
      <c r="O99" s="140">
        <f>IF(F99&lt;&gt;"",TEXT(F99,"yyyymmdd")&amp;"-"&amp;N99,"")</f>
        <v/>
      </c>
    </row>
    <row r="100" ht="15" customHeight="1" s="82">
      <c r="A100" s="83" t="n"/>
      <c r="B100" s="144">
        <f>IF(C100="","","POL-"&amp;TEXT(ROW()-4,"0000"))</f>
        <v/>
      </c>
      <c r="C100" s="144" t="n"/>
      <c r="D100" s="144" t="n"/>
      <c r="E100" s="144" t="n"/>
      <c r="F100" s="145" t="n"/>
      <c r="G100" s="144" t="n"/>
      <c r="H100" s="143">
        <f>IF(OR(G100="Renewed",G100=""),0,IF(TODAY()&gt;F100,TODAY()-F100,0))</f>
        <v/>
      </c>
      <c r="I100" s="144" t="n"/>
      <c r="J100" s="144" t="n"/>
      <c r="K100" s="83" t="n"/>
      <c r="L100" s="140">
        <f>IF(AND(G100&lt;&gt;"Renewed",F100&lt;&gt;"",F100&gt;=TODAY()),SUMPRODUCT(($G$5:$G$304&lt;&gt;"Renewed")*($F$5:$F$304&lt;&gt;"")*($F$5:$F$304&gt;=TODAY())*($F$5:$F$304&lt;F100))+SUMPRODUCT(($G$5:$G$304&lt;&gt;"Renewed")*($F$5:$F$304=F100)*(ROW($F$5:$F$304)&lt;ROW(F100)))+1,"")</f>
        <v/>
      </c>
      <c r="M100" s="140">
        <f>IF(H100&gt;0,SUMPRODUCT(($H$5:$H$304&gt;H100))+SUMPRODUCT(($H$5:$H$304=H100)*(ROW($H$5:$H$304)&lt;ROW(H100)))+1,"")</f>
        <v/>
      </c>
      <c r="N100" s="140">
        <f>IF(F100&lt;&gt;"",SUMPRODUCT(($F$5:$F$304=F100)*(ROW($F$5:$F$304)&lt;ROW(F100)))+1,"")</f>
        <v/>
      </c>
      <c r="O100" s="140">
        <f>IF(F100&lt;&gt;"",TEXT(F100,"yyyymmdd")&amp;"-"&amp;N100,"")</f>
        <v/>
      </c>
    </row>
    <row r="101" ht="15" customHeight="1" s="82">
      <c r="A101" s="83" t="n"/>
      <c r="B101" s="146">
        <f>IF(C101="","","POL-"&amp;TEXT(ROW()-4,"0000"))</f>
        <v/>
      </c>
      <c r="C101" s="146" t="n"/>
      <c r="D101" s="146" t="n"/>
      <c r="E101" s="146" t="n"/>
      <c r="F101" s="147" t="n"/>
      <c r="G101" s="146" t="n"/>
      <c r="H101" s="139">
        <f>IF(OR(G101="Renewed",G101=""),0,IF(TODAY()&gt;F101,TODAY()-F101,0))</f>
        <v/>
      </c>
      <c r="I101" s="146" t="n"/>
      <c r="J101" s="146" t="n"/>
      <c r="K101" s="83" t="n"/>
      <c r="L101" s="140">
        <f>IF(AND(G101&lt;&gt;"Renewed",F101&lt;&gt;"",F101&gt;=TODAY()),SUMPRODUCT(($G$5:$G$304&lt;&gt;"Renewed")*($F$5:$F$304&lt;&gt;"")*($F$5:$F$304&gt;=TODAY())*($F$5:$F$304&lt;F101))+SUMPRODUCT(($G$5:$G$304&lt;&gt;"Renewed")*($F$5:$F$304=F101)*(ROW($F$5:$F$304)&lt;ROW(F101)))+1,"")</f>
        <v/>
      </c>
      <c r="M101" s="140">
        <f>IF(H101&gt;0,SUMPRODUCT(($H$5:$H$304&gt;H101))+SUMPRODUCT(($H$5:$H$304=H101)*(ROW($H$5:$H$304)&lt;ROW(H101)))+1,"")</f>
        <v/>
      </c>
      <c r="N101" s="140">
        <f>IF(F101&lt;&gt;"",SUMPRODUCT(($F$5:$F$304=F101)*(ROW($F$5:$F$304)&lt;ROW(F101)))+1,"")</f>
        <v/>
      </c>
      <c r="O101" s="140">
        <f>IF(F101&lt;&gt;"",TEXT(F101,"yyyymmdd")&amp;"-"&amp;N101,"")</f>
        <v/>
      </c>
    </row>
    <row r="102" ht="15" customHeight="1" s="82">
      <c r="A102" s="83" t="n"/>
      <c r="B102" s="144">
        <f>IF(C102="","","POL-"&amp;TEXT(ROW()-4,"0000"))</f>
        <v/>
      </c>
      <c r="C102" s="144" t="n"/>
      <c r="D102" s="144" t="n"/>
      <c r="E102" s="144" t="n"/>
      <c r="F102" s="145" t="n"/>
      <c r="G102" s="144" t="n"/>
      <c r="H102" s="143">
        <f>IF(OR(G102="Renewed",G102=""),0,IF(TODAY()&gt;F102,TODAY()-F102,0))</f>
        <v/>
      </c>
      <c r="I102" s="144" t="n"/>
      <c r="J102" s="144" t="n"/>
      <c r="K102" s="83" t="n"/>
      <c r="L102" s="140">
        <f>IF(AND(G102&lt;&gt;"Renewed",F102&lt;&gt;"",F102&gt;=TODAY()),SUMPRODUCT(($G$5:$G$304&lt;&gt;"Renewed")*($F$5:$F$304&lt;&gt;"")*($F$5:$F$304&gt;=TODAY())*($F$5:$F$304&lt;F102))+SUMPRODUCT(($G$5:$G$304&lt;&gt;"Renewed")*($F$5:$F$304=F102)*(ROW($F$5:$F$304)&lt;ROW(F102)))+1,"")</f>
        <v/>
      </c>
      <c r="M102" s="140">
        <f>IF(H102&gt;0,SUMPRODUCT(($H$5:$H$304&gt;H102))+SUMPRODUCT(($H$5:$H$304=H102)*(ROW($H$5:$H$304)&lt;ROW(H102)))+1,"")</f>
        <v/>
      </c>
      <c r="N102" s="140">
        <f>IF(F102&lt;&gt;"",SUMPRODUCT(($F$5:$F$304=F102)*(ROW($F$5:$F$304)&lt;ROW(F102)))+1,"")</f>
        <v/>
      </c>
      <c r="O102" s="140">
        <f>IF(F102&lt;&gt;"",TEXT(F102,"yyyymmdd")&amp;"-"&amp;N102,"")</f>
        <v/>
      </c>
    </row>
    <row r="103" ht="15" customHeight="1" s="82">
      <c r="A103" s="83" t="n"/>
      <c r="B103" s="146">
        <f>IF(C103="","","POL-"&amp;TEXT(ROW()-4,"0000"))</f>
        <v/>
      </c>
      <c r="C103" s="146" t="n"/>
      <c r="D103" s="146" t="n"/>
      <c r="E103" s="146" t="n"/>
      <c r="F103" s="147" t="n"/>
      <c r="G103" s="146" t="n"/>
      <c r="H103" s="139">
        <f>IF(OR(G103="Renewed",G103=""),0,IF(TODAY()&gt;F103,TODAY()-F103,0))</f>
        <v/>
      </c>
      <c r="I103" s="146" t="n"/>
      <c r="J103" s="146" t="n"/>
      <c r="K103" s="83" t="n"/>
      <c r="L103" s="140">
        <f>IF(AND(G103&lt;&gt;"Renewed",F103&lt;&gt;"",F103&gt;=TODAY()),SUMPRODUCT(($G$5:$G$304&lt;&gt;"Renewed")*($F$5:$F$304&lt;&gt;"")*($F$5:$F$304&gt;=TODAY())*($F$5:$F$304&lt;F103))+SUMPRODUCT(($G$5:$G$304&lt;&gt;"Renewed")*($F$5:$F$304=F103)*(ROW($F$5:$F$304)&lt;ROW(F103)))+1,"")</f>
        <v/>
      </c>
      <c r="M103" s="140">
        <f>IF(H103&gt;0,SUMPRODUCT(($H$5:$H$304&gt;H103))+SUMPRODUCT(($H$5:$H$304=H103)*(ROW($H$5:$H$304)&lt;ROW(H103)))+1,"")</f>
        <v/>
      </c>
      <c r="N103" s="140">
        <f>IF(F103&lt;&gt;"",SUMPRODUCT(($F$5:$F$304=F103)*(ROW($F$5:$F$304)&lt;ROW(F103)))+1,"")</f>
        <v/>
      </c>
      <c r="O103" s="140">
        <f>IF(F103&lt;&gt;"",TEXT(F103,"yyyymmdd")&amp;"-"&amp;N103,"")</f>
        <v/>
      </c>
    </row>
    <row r="104" ht="15" customHeight="1" s="82">
      <c r="A104" s="83" t="n"/>
      <c r="B104" s="144">
        <f>IF(C104="","","POL-"&amp;TEXT(ROW()-4,"0000"))</f>
        <v/>
      </c>
      <c r="C104" s="144" t="n"/>
      <c r="D104" s="144" t="n"/>
      <c r="E104" s="144" t="n"/>
      <c r="F104" s="145" t="n"/>
      <c r="G104" s="144" t="n"/>
      <c r="H104" s="143">
        <f>IF(OR(G104="Renewed",G104=""),0,IF(TODAY()&gt;F104,TODAY()-F104,0))</f>
        <v/>
      </c>
      <c r="I104" s="144" t="n"/>
      <c r="J104" s="144" t="n"/>
      <c r="K104" s="83" t="n"/>
      <c r="L104" s="140">
        <f>IF(AND(G104&lt;&gt;"Renewed",F104&lt;&gt;"",F104&gt;=TODAY()),SUMPRODUCT(($G$5:$G$304&lt;&gt;"Renewed")*($F$5:$F$304&lt;&gt;"")*($F$5:$F$304&gt;=TODAY())*($F$5:$F$304&lt;F104))+SUMPRODUCT(($G$5:$G$304&lt;&gt;"Renewed")*($F$5:$F$304=F104)*(ROW($F$5:$F$304)&lt;ROW(F104)))+1,"")</f>
        <v/>
      </c>
      <c r="M104" s="140">
        <f>IF(H104&gt;0,SUMPRODUCT(($H$5:$H$304&gt;H104))+SUMPRODUCT(($H$5:$H$304=H104)*(ROW($H$5:$H$304)&lt;ROW(H104)))+1,"")</f>
        <v/>
      </c>
      <c r="N104" s="140">
        <f>IF(F104&lt;&gt;"",SUMPRODUCT(($F$5:$F$304=F104)*(ROW($F$5:$F$304)&lt;ROW(F104)))+1,"")</f>
        <v/>
      </c>
      <c r="O104" s="140">
        <f>IF(F104&lt;&gt;"",TEXT(F104,"yyyymmdd")&amp;"-"&amp;N104,"")</f>
        <v/>
      </c>
    </row>
    <row r="105" ht="15" customHeight="1" s="82">
      <c r="A105" s="83" t="n"/>
      <c r="B105" s="146">
        <f>IF(C105="","","POL-"&amp;TEXT(ROW()-4,"0000"))</f>
        <v/>
      </c>
      <c r="C105" s="146" t="n"/>
      <c r="D105" s="146" t="n"/>
      <c r="E105" s="146" t="n"/>
      <c r="F105" s="147" t="n"/>
      <c r="G105" s="146" t="n"/>
      <c r="H105" s="139">
        <f>IF(OR(G105="Renewed",G105=""),0,IF(TODAY()&gt;F105,TODAY()-F105,0))</f>
        <v/>
      </c>
      <c r="I105" s="146" t="n"/>
      <c r="J105" s="146" t="n"/>
      <c r="K105" s="83" t="n"/>
      <c r="L105" s="140">
        <f>IF(AND(G105&lt;&gt;"Renewed",F105&lt;&gt;"",F105&gt;=TODAY()),SUMPRODUCT(($G$5:$G$304&lt;&gt;"Renewed")*($F$5:$F$304&lt;&gt;"")*($F$5:$F$304&gt;=TODAY())*($F$5:$F$304&lt;F105))+SUMPRODUCT(($G$5:$G$304&lt;&gt;"Renewed")*($F$5:$F$304=F105)*(ROW($F$5:$F$304)&lt;ROW(F105)))+1,"")</f>
        <v/>
      </c>
      <c r="M105" s="140">
        <f>IF(H105&gt;0,SUMPRODUCT(($H$5:$H$304&gt;H105))+SUMPRODUCT(($H$5:$H$304=H105)*(ROW($H$5:$H$304)&lt;ROW(H105)))+1,"")</f>
        <v/>
      </c>
      <c r="N105" s="140">
        <f>IF(F105&lt;&gt;"",SUMPRODUCT(($F$5:$F$304=F105)*(ROW($F$5:$F$304)&lt;ROW(F105)))+1,"")</f>
        <v/>
      </c>
      <c r="O105" s="140">
        <f>IF(F105&lt;&gt;"",TEXT(F105,"yyyymmdd")&amp;"-"&amp;N105,"")</f>
        <v/>
      </c>
    </row>
    <row r="106" ht="15" customHeight="1" s="82">
      <c r="A106" s="83" t="n"/>
      <c r="B106" s="144">
        <f>IF(C106="","","POL-"&amp;TEXT(ROW()-4,"0000"))</f>
        <v/>
      </c>
      <c r="C106" s="144" t="n"/>
      <c r="D106" s="144" t="n"/>
      <c r="E106" s="144" t="n"/>
      <c r="F106" s="145" t="n"/>
      <c r="G106" s="144" t="n"/>
      <c r="H106" s="143">
        <f>IF(OR(G106="Renewed",G106=""),0,IF(TODAY()&gt;F106,TODAY()-F106,0))</f>
        <v/>
      </c>
      <c r="I106" s="144" t="n"/>
      <c r="J106" s="144" t="n"/>
      <c r="K106" s="83" t="n"/>
      <c r="L106" s="140">
        <f>IF(AND(G106&lt;&gt;"Renewed",F106&lt;&gt;"",F106&gt;=TODAY()),SUMPRODUCT(($G$5:$G$304&lt;&gt;"Renewed")*($F$5:$F$304&lt;&gt;"")*($F$5:$F$304&gt;=TODAY())*($F$5:$F$304&lt;F106))+SUMPRODUCT(($G$5:$G$304&lt;&gt;"Renewed")*($F$5:$F$304=F106)*(ROW($F$5:$F$304)&lt;ROW(F106)))+1,"")</f>
        <v/>
      </c>
      <c r="M106" s="140">
        <f>IF(H106&gt;0,SUMPRODUCT(($H$5:$H$304&gt;H106))+SUMPRODUCT(($H$5:$H$304=H106)*(ROW($H$5:$H$304)&lt;ROW(H106)))+1,"")</f>
        <v/>
      </c>
      <c r="N106" s="140">
        <f>IF(F106&lt;&gt;"",SUMPRODUCT(($F$5:$F$304=F106)*(ROW($F$5:$F$304)&lt;ROW(F106)))+1,"")</f>
        <v/>
      </c>
      <c r="O106" s="140">
        <f>IF(F106&lt;&gt;"",TEXT(F106,"yyyymmdd")&amp;"-"&amp;N106,"")</f>
        <v/>
      </c>
    </row>
    <row r="107" ht="15" customHeight="1" s="82">
      <c r="A107" s="83" t="n"/>
      <c r="B107" s="146">
        <f>IF(C107="","","POL-"&amp;TEXT(ROW()-4,"0000"))</f>
        <v/>
      </c>
      <c r="C107" s="146" t="n"/>
      <c r="D107" s="146" t="n"/>
      <c r="E107" s="146" t="n"/>
      <c r="F107" s="147" t="n"/>
      <c r="G107" s="146" t="n"/>
      <c r="H107" s="139">
        <f>IF(OR(G107="Renewed",G107=""),0,IF(TODAY()&gt;F107,TODAY()-F107,0))</f>
        <v/>
      </c>
      <c r="I107" s="146" t="n"/>
      <c r="J107" s="146" t="n"/>
      <c r="K107" s="83" t="n"/>
      <c r="L107" s="140">
        <f>IF(AND(G107&lt;&gt;"Renewed",F107&lt;&gt;"",F107&gt;=TODAY()),SUMPRODUCT(($G$5:$G$304&lt;&gt;"Renewed")*($F$5:$F$304&lt;&gt;"")*($F$5:$F$304&gt;=TODAY())*($F$5:$F$304&lt;F107))+SUMPRODUCT(($G$5:$G$304&lt;&gt;"Renewed")*($F$5:$F$304=F107)*(ROW($F$5:$F$304)&lt;ROW(F107)))+1,"")</f>
        <v/>
      </c>
      <c r="M107" s="140">
        <f>IF(H107&gt;0,SUMPRODUCT(($H$5:$H$304&gt;H107))+SUMPRODUCT(($H$5:$H$304=H107)*(ROW($H$5:$H$304)&lt;ROW(H107)))+1,"")</f>
        <v/>
      </c>
      <c r="N107" s="140">
        <f>IF(F107&lt;&gt;"",SUMPRODUCT(($F$5:$F$304=F107)*(ROW($F$5:$F$304)&lt;ROW(F107)))+1,"")</f>
        <v/>
      </c>
      <c r="O107" s="140">
        <f>IF(F107&lt;&gt;"",TEXT(F107,"yyyymmdd")&amp;"-"&amp;N107,"")</f>
        <v/>
      </c>
    </row>
    <row r="108" ht="15" customHeight="1" s="82">
      <c r="A108" s="83" t="n"/>
      <c r="B108" s="144">
        <f>IF(C108="","","POL-"&amp;TEXT(ROW()-4,"0000"))</f>
        <v/>
      </c>
      <c r="C108" s="144" t="n"/>
      <c r="D108" s="144" t="n"/>
      <c r="E108" s="144" t="n"/>
      <c r="F108" s="145" t="n"/>
      <c r="G108" s="144" t="n"/>
      <c r="H108" s="143">
        <f>IF(OR(G108="Renewed",G108=""),0,IF(TODAY()&gt;F108,TODAY()-F108,0))</f>
        <v/>
      </c>
      <c r="I108" s="144" t="n"/>
      <c r="J108" s="144" t="n"/>
      <c r="K108" s="83" t="n"/>
      <c r="L108" s="140">
        <f>IF(AND(G108&lt;&gt;"Renewed",F108&lt;&gt;"",F108&gt;=TODAY()),SUMPRODUCT(($G$5:$G$304&lt;&gt;"Renewed")*($F$5:$F$304&lt;&gt;"")*($F$5:$F$304&gt;=TODAY())*($F$5:$F$304&lt;F108))+SUMPRODUCT(($G$5:$G$304&lt;&gt;"Renewed")*($F$5:$F$304=F108)*(ROW($F$5:$F$304)&lt;ROW(F108)))+1,"")</f>
        <v/>
      </c>
      <c r="M108" s="140">
        <f>IF(H108&gt;0,SUMPRODUCT(($H$5:$H$304&gt;H108))+SUMPRODUCT(($H$5:$H$304=H108)*(ROW($H$5:$H$304)&lt;ROW(H108)))+1,"")</f>
        <v/>
      </c>
      <c r="N108" s="140">
        <f>IF(F108&lt;&gt;"",SUMPRODUCT(($F$5:$F$304=F108)*(ROW($F$5:$F$304)&lt;ROW(F108)))+1,"")</f>
        <v/>
      </c>
      <c r="O108" s="140">
        <f>IF(F108&lt;&gt;"",TEXT(F108,"yyyymmdd")&amp;"-"&amp;N108,"")</f>
        <v/>
      </c>
    </row>
    <row r="109" ht="15" customHeight="1" s="82">
      <c r="A109" s="83" t="n"/>
      <c r="B109" s="146">
        <f>IF(C109="","","POL-"&amp;TEXT(ROW()-4,"0000"))</f>
        <v/>
      </c>
      <c r="C109" s="146" t="n"/>
      <c r="D109" s="146" t="n"/>
      <c r="E109" s="146" t="n"/>
      <c r="F109" s="147" t="n"/>
      <c r="G109" s="146" t="n"/>
      <c r="H109" s="139">
        <f>IF(OR(G109="Renewed",G109=""),0,IF(TODAY()&gt;F109,TODAY()-F109,0))</f>
        <v/>
      </c>
      <c r="I109" s="146" t="n"/>
      <c r="J109" s="146" t="n"/>
      <c r="K109" s="83" t="n"/>
      <c r="L109" s="140">
        <f>IF(AND(G109&lt;&gt;"Renewed",F109&lt;&gt;"",F109&gt;=TODAY()),SUMPRODUCT(($G$5:$G$304&lt;&gt;"Renewed")*($F$5:$F$304&lt;&gt;"")*($F$5:$F$304&gt;=TODAY())*($F$5:$F$304&lt;F109))+SUMPRODUCT(($G$5:$G$304&lt;&gt;"Renewed")*($F$5:$F$304=F109)*(ROW($F$5:$F$304)&lt;ROW(F109)))+1,"")</f>
        <v/>
      </c>
      <c r="M109" s="140">
        <f>IF(H109&gt;0,SUMPRODUCT(($H$5:$H$304&gt;H109))+SUMPRODUCT(($H$5:$H$304=H109)*(ROW($H$5:$H$304)&lt;ROW(H109)))+1,"")</f>
        <v/>
      </c>
      <c r="N109" s="140">
        <f>IF(F109&lt;&gt;"",SUMPRODUCT(($F$5:$F$304=F109)*(ROW($F$5:$F$304)&lt;ROW(F109)))+1,"")</f>
        <v/>
      </c>
      <c r="O109" s="140">
        <f>IF(F109&lt;&gt;"",TEXT(F109,"yyyymmdd")&amp;"-"&amp;N109,"")</f>
        <v/>
      </c>
    </row>
    <row r="110" ht="15" customHeight="1" s="82">
      <c r="A110" s="83" t="n"/>
      <c r="B110" s="144">
        <f>IF(C110="","","POL-"&amp;TEXT(ROW()-4,"0000"))</f>
        <v/>
      </c>
      <c r="C110" s="144" t="n"/>
      <c r="D110" s="144" t="n"/>
      <c r="E110" s="144" t="n"/>
      <c r="F110" s="145" t="n"/>
      <c r="G110" s="144" t="n"/>
      <c r="H110" s="143">
        <f>IF(OR(G110="Renewed",G110=""),0,IF(TODAY()&gt;F110,TODAY()-F110,0))</f>
        <v/>
      </c>
      <c r="I110" s="144" t="n"/>
      <c r="J110" s="144" t="n"/>
      <c r="K110" s="83" t="n"/>
      <c r="L110" s="140">
        <f>IF(AND(G110&lt;&gt;"Renewed",F110&lt;&gt;"",F110&gt;=TODAY()),SUMPRODUCT(($G$5:$G$304&lt;&gt;"Renewed")*($F$5:$F$304&lt;&gt;"")*($F$5:$F$304&gt;=TODAY())*($F$5:$F$304&lt;F110))+SUMPRODUCT(($G$5:$G$304&lt;&gt;"Renewed")*($F$5:$F$304=F110)*(ROW($F$5:$F$304)&lt;ROW(F110)))+1,"")</f>
        <v/>
      </c>
      <c r="M110" s="140">
        <f>IF(H110&gt;0,SUMPRODUCT(($H$5:$H$304&gt;H110))+SUMPRODUCT(($H$5:$H$304=H110)*(ROW($H$5:$H$304)&lt;ROW(H110)))+1,"")</f>
        <v/>
      </c>
      <c r="N110" s="140">
        <f>IF(F110&lt;&gt;"",SUMPRODUCT(($F$5:$F$304=F110)*(ROW($F$5:$F$304)&lt;ROW(F110)))+1,"")</f>
        <v/>
      </c>
      <c r="O110" s="140">
        <f>IF(F110&lt;&gt;"",TEXT(F110,"yyyymmdd")&amp;"-"&amp;N110,"")</f>
        <v/>
      </c>
    </row>
    <row r="111" ht="15" customHeight="1" s="82">
      <c r="A111" s="83" t="n"/>
      <c r="B111" s="146">
        <f>IF(C111="","","POL-"&amp;TEXT(ROW()-4,"0000"))</f>
        <v/>
      </c>
      <c r="C111" s="146" t="n"/>
      <c r="D111" s="146" t="n"/>
      <c r="E111" s="146" t="n"/>
      <c r="F111" s="147" t="n"/>
      <c r="G111" s="146" t="n"/>
      <c r="H111" s="139">
        <f>IF(OR(G111="Renewed",G111=""),0,IF(TODAY()&gt;F111,TODAY()-F111,0))</f>
        <v/>
      </c>
      <c r="I111" s="146" t="n"/>
      <c r="J111" s="146" t="n"/>
      <c r="K111" s="83" t="n"/>
      <c r="L111" s="140">
        <f>IF(AND(G111&lt;&gt;"Renewed",F111&lt;&gt;"",F111&gt;=TODAY()),SUMPRODUCT(($G$5:$G$304&lt;&gt;"Renewed")*($F$5:$F$304&lt;&gt;"")*($F$5:$F$304&gt;=TODAY())*($F$5:$F$304&lt;F111))+SUMPRODUCT(($G$5:$G$304&lt;&gt;"Renewed")*($F$5:$F$304=F111)*(ROW($F$5:$F$304)&lt;ROW(F111)))+1,"")</f>
        <v/>
      </c>
      <c r="M111" s="140">
        <f>IF(H111&gt;0,SUMPRODUCT(($H$5:$H$304&gt;H111))+SUMPRODUCT(($H$5:$H$304=H111)*(ROW($H$5:$H$304)&lt;ROW(H111)))+1,"")</f>
        <v/>
      </c>
      <c r="N111" s="140">
        <f>IF(F111&lt;&gt;"",SUMPRODUCT(($F$5:$F$304=F111)*(ROW($F$5:$F$304)&lt;ROW(F111)))+1,"")</f>
        <v/>
      </c>
      <c r="O111" s="140">
        <f>IF(F111&lt;&gt;"",TEXT(F111,"yyyymmdd")&amp;"-"&amp;N111,"")</f>
        <v/>
      </c>
    </row>
    <row r="112" ht="15" customHeight="1" s="82">
      <c r="A112" s="83" t="n"/>
      <c r="B112" s="144">
        <f>IF(C112="","","POL-"&amp;TEXT(ROW()-4,"0000"))</f>
        <v/>
      </c>
      <c r="C112" s="144" t="n"/>
      <c r="D112" s="144" t="n"/>
      <c r="E112" s="144" t="n"/>
      <c r="F112" s="145" t="n"/>
      <c r="G112" s="144" t="n"/>
      <c r="H112" s="143">
        <f>IF(OR(G112="Renewed",G112=""),0,IF(TODAY()&gt;F112,TODAY()-F112,0))</f>
        <v/>
      </c>
      <c r="I112" s="144" t="n"/>
      <c r="J112" s="144" t="n"/>
      <c r="K112" s="83" t="n"/>
      <c r="L112" s="140">
        <f>IF(AND(G112&lt;&gt;"Renewed",F112&lt;&gt;"",F112&gt;=TODAY()),SUMPRODUCT(($G$5:$G$304&lt;&gt;"Renewed")*($F$5:$F$304&lt;&gt;"")*($F$5:$F$304&gt;=TODAY())*($F$5:$F$304&lt;F112))+SUMPRODUCT(($G$5:$G$304&lt;&gt;"Renewed")*($F$5:$F$304=F112)*(ROW($F$5:$F$304)&lt;ROW(F112)))+1,"")</f>
        <v/>
      </c>
      <c r="M112" s="140">
        <f>IF(H112&gt;0,SUMPRODUCT(($H$5:$H$304&gt;H112))+SUMPRODUCT(($H$5:$H$304=H112)*(ROW($H$5:$H$304)&lt;ROW(H112)))+1,"")</f>
        <v/>
      </c>
      <c r="N112" s="140">
        <f>IF(F112&lt;&gt;"",SUMPRODUCT(($F$5:$F$304=F112)*(ROW($F$5:$F$304)&lt;ROW(F112)))+1,"")</f>
        <v/>
      </c>
      <c r="O112" s="140">
        <f>IF(F112&lt;&gt;"",TEXT(F112,"yyyymmdd")&amp;"-"&amp;N112,"")</f>
        <v/>
      </c>
    </row>
    <row r="113" ht="15" customHeight="1" s="82">
      <c r="A113" s="83" t="n"/>
      <c r="B113" s="146">
        <f>IF(C113="","","POL-"&amp;TEXT(ROW()-4,"0000"))</f>
        <v/>
      </c>
      <c r="C113" s="146" t="n"/>
      <c r="D113" s="146" t="n"/>
      <c r="E113" s="146" t="n"/>
      <c r="F113" s="147" t="n"/>
      <c r="G113" s="146" t="n"/>
      <c r="H113" s="139">
        <f>IF(OR(G113="Renewed",G113=""),0,IF(TODAY()&gt;F113,TODAY()-F113,0))</f>
        <v/>
      </c>
      <c r="I113" s="146" t="n"/>
      <c r="J113" s="146" t="n"/>
      <c r="K113" s="83" t="n"/>
      <c r="L113" s="140">
        <f>IF(AND(G113&lt;&gt;"Renewed",F113&lt;&gt;"",F113&gt;=TODAY()),SUMPRODUCT(($G$5:$G$304&lt;&gt;"Renewed")*($F$5:$F$304&lt;&gt;"")*($F$5:$F$304&gt;=TODAY())*($F$5:$F$304&lt;F113))+SUMPRODUCT(($G$5:$G$304&lt;&gt;"Renewed")*($F$5:$F$304=F113)*(ROW($F$5:$F$304)&lt;ROW(F113)))+1,"")</f>
        <v/>
      </c>
      <c r="M113" s="140">
        <f>IF(H113&gt;0,SUMPRODUCT(($H$5:$H$304&gt;H113))+SUMPRODUCT(($H$5:$H$304=H113)*(ROW($H$5:$H$304)&lt;ROW(H113)))+1,"")</f>
        <v/>
      </c>
      <c r="N113" s="140">
        <f>IF(F113&lt;&gt;"",SUMPRODUCT(($F$5:$F$304=F113)*(ROW($F$5:$F$304)&lt;ROW(F113)))+1,"")</f>
        <v/>
      </c>
      <c r="O113" s="140">
        <f>IF(F113&lt;&gt;"",TEXT(F113,"yyyymmdd")&amp;"-"&amp;N113,"")</f>
        <v/>
      </c>
    </row>
    <row r="114" ht="15" customHeight="1" s="82">
      <c r="A114" s="83" t="n"/>
      <c r="B114" s="144">
        <f>IF(C114="","","POL-"&amp;TEXT(ROW()-4,"0000"))</f>
        <v/>
      </c>
      <c r="C114" s="144" t="n"/>
      <c r="D114" s="144" t="n"/>
      <c r="E114" s="144" t="n"/>
      <c r="F114" s="145" t="n"/>
      <c r="G114" s="144" t="n"/>
      <c r="H114" s="143">
        <f>IF(OR(G114="Renewed",G114=""),0,IF(TODAY()&gt;F114,TODAY()-F114,0))</f>
        <v/>
      </c>
      <c r="I114" s="144" t="n"/>
      <c r="J114" s="144" t="n"/>
      <c r="K114" s="83" t="n"/>
      <c r="L114" s="140">
        <f>IF(AND(G114&lt;&gt;"Renewed",F114&lt;&gt;"",F114&gt;=TODAY()),SUMPRODUCT(($G$5:$G$304&lt;&gt;"Renewed")*($F$5:$F$304&lt;&gt;"")*($F$5:$F$304&gt;=TODAY())*($F$5:$F$304&lt;F114))+SUMPRODUCT(($G$5:$G$304&lt;&gt;"Renewed")*($F$5:$F$304=F114)*(ROW($F$5:$F$304)&lt;ROW(F114)))+1,"")</f>
        <v/>
      </c>
      <c r="M114" s="140">
        <f>IF(H114&gt;0,SUMPRODUCT(($H$5:$H$304&gt;H114))+SUMPRODUCT(($H$5:$H$304=H114)*(ROW($H$5:$H$304)&lt;ROW(H114)))+1,"")</f>
        <v/>
      </c>
      <c r="N114" s="140">
        <f>IF(F114&lt;&gt;"",SUMPRODUCT(($F$5:$F$304=F114)*(ROW($F$5:$F$304)&lt;ROW(F114)))+1,"")</f>
        <v/>
      </c>
      <c r="O114" s="140">
        <f>IF(F114&lt;&gt;"",TEXT(F114,"yyyymmdd")&amp;"-"&amp;N114,"")</f>
        <v/>
      </c>
    </row>
    <row r="115" ht="15" customHeight="1" s="82">
      <c r="A115" s="83" t="n"/>
      <c r="B115" s="146">
        <f>IF(C115="","","POL-"&amp;TEXT(ROW()-4,"0000"))</f>
        <v/>
      </c>
      <c r="C115" s="146" t="n"/>
      <c r="D115" s="146" t="n"/>
      <c r="E115" s="146" t="n"/>
      <c r="F115" s="147" t="n"/>
      <c r="G115" s="146" t="n"/>
      <c r="H115" s="139">
        <f>IF(OR(G115="Renewed",G115=""),0,IF(TODAY()&gt;F115,TODAY()-F115,0))</f>
        <v/>
      </c>
      <c r="I115" s="146" t="n"/>
      <c r="J115" s="146" t="n"/>
      <c r="K115" s="83" t="n"/>
      <c r="L115" s="140">
        <f>IF(AND(G115&lt;&gt;"Renewed",F115&lt;&gt;"",F115&gt;=TODAY()),SUMPRODUCT(($G$5:$G$304&lt;&gt;"Renewed")*($F$5:$F$304&lt;&gt;"")*($F$5:$F$304&gt;=TODAY())*($F$5:$F$304&lt;F115))+SUMPRODUCT(($G$5:$G$304&lt;&gt;"Renewed")*($F$5:$F$304=F115)*(ROW($F$5:$F$304)&lt;ROW(F115)))+1,"")</f>
        <v/>
      </c>
      <c r="M115" s="140">
        <f>IF(H115&gt;0,SUMPRODUCT(($H$5:$H$304&gt;H115))+SUMPRODUCT(($H$5:$H$304=H115)*(ROW($H$5:$H$304)&lt;ROW(H115)))+1,"")</f>
        <v/>
      </c>
      <c r="N115" s="140">
        <f>IF(F115&lt;&gt;"",SUMPRODUCT(($F$5:$F$304=F115)*(ROW($F$5:$F$304)&lt;ROW(F115)))+1,"")</f>
        <v/>
      </c>
      <c r="O115" s="140">
        <f>IF(F115&lt;&gt;"",TEXT(F115,"yyyymmdd")&amp;"-"&amp;N115,"")</f>
        <v/>
      </c>
    </row>
    <row r="116" ht="15" customHeight="1" s="82">
      <c r="A116" s="83" t="n"/>
      <c r="B116" s="144">
        <f>IF(C116="","","POL-"&amp;TEXT(ROW()-4,"0000"))</f>
        <v/>
      </c>
      <c r="C116" s="144" t="n"/>
      <c r="D116" s="144" t="n"/>
      <c r="E116" s="144" t="n"/>
      <c r="F116" s="145" t="n"/>
      <c r="G116" s="144" t="n"/>
      <c r="H116" s="143">
        <f>IF(OR(G116="Renewed",G116=""),0,IF(TODAY()&gt;F116,TODAY()-F116,0))</f>
        <v/>
      </c>
      <c r="I116" s="144" t="n"/>
      <c r="J116" s="144" t="n"/>
      <c r="K116" s="83" t="n"/>
      <c r="L116" s="140">
        <f>IF(AND(G116&lt;&gt;"Renewed",F116&lt;&gt;"",F116&gt;=TODAY()),SUMPRODUCT(($G$5:$G$304&lt;&gt;"Renewed")*($F$5:$F$304&lt;&gt;"")*($F$5:$F$304&gt;=TODAY())*($F$5:$F$304&lt;F116))+SUMPRODUCT(($G$5:$G$304&lt;&gt;"Renewed")*($F$5:$F$304=F116)*(ROW($F$5:$F$304)&lt;ROW(F116)))+1,"")</f>
        <v/>
      </c>
      <c r="M116" s="140">
        <f>IF(H116&gt;0,SUMPRODUCT(($H$5:$H$304&gt;H116))+SUMPRODUCT(($H$5:$H$304=H116)*(ROW($H$5:$H$304)&lt;ROW(H116)))+1,"")</f>
        <v/>
      </c>
      <c r="N116" s="140">
        <f>IF(F116&lt;&gt;"",SUMPRODUCT(($F$5:$F$304=F116)*(ROW($F$5:$F$304)&lt;ROW(F116)))+1,"")</f>
        <v/>
      </c>
      <c r="O116" s="140">
        <f>IF(F116&lt;&gt;"",TEXT(F116,"yyyymmdd")&amp;"-"&amp;N116,"")</f>
        <v/>
      </c>
    </row>
    <row r="117" ht="15" customHeight="1" s="82">
      <c r="A117" s="83" t="n"/>
      <c r="B117" s="146">
        <f>IF(C117="","","POL-"&amp;TEXT(ROW()-4,"0000"))</f>
        <v/>
      </c>
      <c r="C117" s="146" t="n"/>
      <c r="D117" s="146" t="n"/>
      <c r="E117" s="146" t="n"/>
      <c r="F117" s="147" t="n"/>
      <c r="G117" s="146" t="n"/>
      <c r="H117" s="139">
        <f>IF(OR(G117="Renewed",G117=""),0,IF(TODAY()&gt;F117,TODAY()-F117,0))</f>
        <v/>
      </c>
      <c r="I117" s="146" t="n"/>
      <c r="J117" s="146" t="n"/>
      <c r="K117" s="83" t="n"/>
      <c r="L117" s="140">
        <f>IF(AND(G117&lt;&gt;"Renewed",F117&lt;&gt;"",F117&gt;=TODAY()),SUMPRODUCT(($G$5:$G$304&lt;&gt;"Renewed")*($F$5:$F$304&lt;&gt;"")*($F$5:$F$304&gt;=TODAY())*($F$5:$F$304&lt;F117))+SUMPRODUCT(($G$5:$G$304&lt;&gt;"Renewed")*($F$5:$F$304=F117)*(ROW($F$5:$F$304)&lt;ROW(F117)))+1,"")</f>
        <v/>
      </c>
      <c r="M117" s="140">
        <f>IF(H117&gt;0,SUMPRODUCT(($H$5:$H$304&gt;H117))+SUMPRODUCT(($H$5:$H$304=H117)*(ROW($H$5:$H$304)&lt;ROW(H117)))+1,"")</f>
        <v/>
      </c>
      <c r="N117" s="140">
        <f>IF(F117&lt;&gt;"",SUMPRODUCT(($F$5:$F$304=F117)*(ROW($F$5:$F$304)&lt;ROW(F117)))+1,"")</f>
        <v/>
      </c>
      <c r="O117" s="140">
        <f>IF(F117&lt;&gt;"",TEXT(F117,"yyyymmdd")&amp;"-"&amp;N117,"")</f>
        <v/>
      </c>
    </row>
    <row r="118" ht="15" customHeight="1" s="82">
      <c r="A118" s="83" t="n"/>
      <c r="B118" s="144">
        <f>IF(C118="","","POL-"&amp;TEXT(ROW()-4,"0000"))</f>
        <v/>
      </c>
      <c r="C118" s="144" t="n"/>
      <c r="D118" s="144" t="n"/>
      <c r="E118" s="144" t="n"/>
      <c r="F118" s="145" t="n"/>
      <c r="G118" s="144" t="n"/>
      <c r="H118" s="143">
        <f>IF(OR(G118="Renewed",G118=""),0,IF(TODAY()&gt;F118,TODAY()-F118,0))</f>
        <v/>
      </c>
      <c r="I118" s="144" t="n"/>
      <c r="J118" s="144" t="n"/>
      <c r="K118" s="83" t="n"/>
      <c r="L118" s="140">
        <f>IF(AND(G118&lt;&gt;"Renewed",F118&lt;&gt;"",F118&gt;=TODAY()),SUMPRODUCT(($G$5:$G$304&lt;&gt;"Renewed")*($F$5:$F$304&lt;&gt;"")*($F$5:$F$304&gt;=TODAY())*($F$5:$F$304&lt;F118))+SUMPRODUCT(($G$5:$G$304&lt;&gt;"Renewed")*($F$5:$F$304=F118)*(ROW($F$5:$F$304)&lt;ROW(F118)))+1,"")</f>
        <v/>
      </c>
      <c r="M118" s="140">
        <f>IF(H118&gt;0,SUMPRODUCT(($H$5:$H$304&gt;H118))+SUMPRODUCT(($H$5:$H$304=H118)*(ROW($H$5:$H$304)&lt;ROW(H118)))+1,"")</f>
        <v/>
      </c>
      <c r="N118" s="140">
        <f>IF(F118&lt;&gt;"",SUMPRODUCT(($F$5:$F$304=F118)*(ROW($F$5:$F$304)&lt;ROW(F118)))+1,"")</f>
        <v/>
      </c>
      <c r="O118" s="140">
        <f>IF(F118&lt;&gt;"",TEXT(F118,"yyyymmdd")&amp;"-"&amp;N118,"")</f>
        <v/>
      </c>
    </row>
    <row r="119" ht="15" customHeight="1" s="82">
      <c r="A119" s="83" t="n"/>
      <c r="B119" s="146">
        <f>IF(C119="","","POL-"&amp;TEXT(ROW()-4,"0000"))</f>
        <v/>
      </c>
      <c r="C119" s="146" t="n"/>
      <c r="D119" s="146" t="n"/>
      <c r="E119" s="146" t="n"/>
      <c r="F119" s="147" t="n"/>
      <c r="G119" s="146" t="n"/>
      <c r="H119" s="139">
        <f>IF(OR(G119="Renewed",G119=""),0,IF(TODAY()&gt;F119,TODAY()-F119,0))</f>
        <v/>
      </c>
      <c r="I119" s="146" t="n"/>
      <c r="J119" s="146" t="n"/>
      <c r="K119" s="83" t="n"/>
      <c r="L119" s="140">
        <f>IF(AND(G119&lt;&gt;"Renewed",F119&lt;&gt;"",F119&gt;=TODAY()),SUMPRODUCT(($G$5:$G$304&lt;&gt;"Renewed")*($F$5:$F$304&lt;&gt;"")*($F$5:$F$304&gt;=TODAY())*($F$5:$F$304&lt;F119))+SUMPRODUCT(($G$5:$G$304&lt;&gt;"Renewed")*($F$5:$F$304=F119)*(ROW($F$5:$F$304)&lt;ROW(F119)))+1,"")</f>
        <v/>
      </c>
      <c r="M119" s="140">
        <f>IF(H119&gt;0,SUMPRODUCT(($H$5:$H$304&gt;H119))+SUMPRODUCT(($H$5:$H$304=H119)*(ROW($H$5:$H$304)&lt;ROW(H119)))+1,"")</f>
        <v/>
      </c>
      <c r="N119" s="140">
        <f>IF(F119&lt;&gt;"",SUMPRODUCT(($F$5:$F$304=F119)*(ROW($F$5:$F$304)&lt;ROW(F119)))+1,"")</f>
        <v/>
      </c>
      <c r="O119" s="140">
        <f>IF(F119&lt;&gt;"",TEXT(F119,"yyyymmdd")&amp;"-"&amp;N119,"")</f>
        <v/>
      </c>
    </row>
    <row r="120" ht="15" customHeight="1" s="82">
      <c r="A120" s="83" t="n"/>
      <c r="B120" s="144">
        <f>IF(C120="","","POL-"&amp;TEXT(ROW()-4,"0000"))</f>
        <v/>
      </c>
      <c r="C120" s="144" t="n"/>
      <c r="D120" s="144" t="n"/>
      <c r="E120" s="144" t="n"/>
      <c r="F120" s="145" t="n"/>
      <c r="G120" s="144" t="n"/>
      <c r="H120" s="143">
        <f>IF(OR(G120="Renewed",G120=""),0,IF(TODAY()&gt;F120,TODAY()-F120,0))</f>
        <v/>
      </c>
      <c r="I120" s="144" t="n"/>
      <c r="J120" s="144" t="n"/>
      <c r="K120" s="83" t="n"/>
      <c r="L120" s="140">
        <f>IF(AND(G120&lt;&gt;"Renewed",F120&lt;&gt;"",F120&gt;=TODAY()),SUMPRODUCT(($G$5:$G$304&lt;&gt;"Renewed")*($F$5:$F$304&lt;&gt;"")*($F$5:$F$304&gt;=TODAY())*($F$5:$F$304&lt;F120))+SUMPRODUCT(($G$5:$G$304&lt;&gt;"Renewed")*($F$5:$F$304=F120)*(ROW($F$5:$F$304)&lt;ROW(F120)))+1,"")</f>
        <v/>
      </c>
      <c r="M120" s="140">
        <f>IF(H120&gt;0,SUMPRODUCT(($H$5:$H$304&gt;H120))+SUMPRODUCT(($H$5:$H$304=H120)*(ROW($H$5:$H$304)&lt;ROW(H120)))+1,"")</f>
        <v/>
      </c>
      <c r="N120" s="140">
        <f>IF(F120&lt;&gt;"",SUMPRODUCT(($F$5:$F$304=F120)*(ROW($F$5:$F$304)&lt;ROW(F120)))+1,"")</f>
        <v/>
      </c>
      <c r="O120" s="140">
        <f>IF(F120&lt;&gt;"",TEXT(F120,"yyyymmdd")&amp;"-"&amp;N120,"")</f>
        <v/>
      </c>
    </row>
    <row r="121" ht="15" customHeight="1" s="82">
      <c r="A121" s="83" t="n"/>
      <c r="B121" s="146">
        <f>IF(C121="","","POL-"&amp;TEXT(ROW()-4,"0000"))</f>
        <v/>
      </c>
      <c r="C121" s="146" t="n"/>
      <c r="D121" s="146" t="n"/>
      <c r="E121" s="146" t="n"/>
      <c r="F121" s="147" t="n"/>
      <c r="G121" s="146" t="n"/>
      <c r="H121" s="139">
        <f>IF(OR(G121="Renewed",G121=""),0,IF(TODAY()&gt;F121,TODAY()-F121,0))</f>
        <v/>
      </c>
      <c r="I121" s="146" t="n"/>
      <c r="J121" s="146" t="n"/>
      <c r="K121" s="83" t="n"/>
      <c r="L121" s="140">
        <f>IF(AND(G121&lt;&gt;"Renewed",F121&lt;&gt;"",F121&gt;=TODAY()),SUMPRODUCT(($G$5:$G$304&lt;&gt;"Renewed")*($F$5:$F$304&lt;&gt;"")*($F$5:$F$304&gt;=TODAY())*($F$5:$F$304&lt;F121))+SUMPRODUCT(($G$5:$G$304&lt;&gt;"Renewed")*($F$5:$F$304=F121)*(ROW($F$5:$F$304)&lt;ROW(F121)))+1,"")</f>
        <v/>
      </c>
      <c r="M121" s="140">
        <f>IF(H121&gt;0,SUMPRODUCT(($H$5:$H$304&gt;H121))+SUMPRODUCT(($H$5:$H$304=H121)*(ROW($H$5:$H$304)&lt;ROW(H121)))+1,"")</f>
        <v/>
      </c>
      <c r="N121" s="140">
        <f>IF(F121&lt;&gt;"",SUMPRODUCT(($F$5:$F$304=F121)*(ROW($F$5:$F$304)&lt;ROW(F121)))+1,"")</f>
        <v/>
      </c>
      <c r="O121" s="140">
        <f>IF(F121&lt;&gt;"",TEXT(F121,"yyyymmdd")&amp;"-"&amp;N121,"")</f>
        <v/>
      </c>
    </row>
    <row r="122" ht="15" customHeight="1" s="82">
      <c r="A122" s="83" t="n"/>
      <c r="B122" s="144">
        <f>IF(C122="","","POL-"&amp;TEXT(ROW()-4,"0000"))</f>
        <v/>
      </c>
      <c r="C122" s="144" t="n"/>
      <c r="D122" s="144" t="n"/>
      <c r="E122" s="144" t="n"/>
      <c r="F122" s="145" t="n"/>
      <c r="G122" s="144" t="n"/>
      <c r="H122" s="143">
        <f>IF(OR(G122="Renewed",G122=""),0,IF(TODAY()&gt;F122,TODAY()-F122,0))</f>
        <v/>
      </c>
      <c r="I122" s="144" t="n"/>
      <c r="J122" s="144" t="n"/>
      <c r="K122" s="83" t="n"/>
      <c r="L122" s="140">
        <f>IF(AND(G122&lt;&gt;"Renewed",F122&lt;&gt;"",F122&gt;=TODAY()),SUMPRODUCT(($G$5:$G$304&lt;&gt;"Renewed")*($F$5:$F$304&lt;&gt;"")*($F$5:$F$304&gt;=TODAY())*($F$5:$F$304&lt;F122))+SUMPRODUCT(($G$5:$G$304&lt;&gt;"Renewed")*($F$5:$F$304=F122)*(ROW($F$5:$F$304)&lt;ROW(F122)))+1,"")</f>
        <v/>
      </c>
      <c r="M122" s="140">
        <f>IF(H122&gt;0,SUMPRODUCT(($H$5:$H$304&gt;H122))+SUMPRODUCT(($H$5:$H$304=H122)*(ROW($H$5:$H$304)&lt;ROW(H122)))+1,"")</f>
        <v/>
      </c>
      <c r="N122" s="140">
        <f>IF(F122&lt;&gt;"",SUMPRODUCT(($F$5:$F$304=F122)*(ROW($F$5:$F$304)&lt;ROW(F122)))+1,"")</f>
        <v/>
      </c>
      <c r="O122" s="140">
        <f>IF(F122&lt;&gt;"",TEXT(F122,"yyyymmdd")&amp;"-"&amp;N122,"")</f>
        <v/>
      </c>
    </row>
    <row r="123" ht="15" customHeight="1" s="82">
      <c r="A123" s="83" t="n"/>
      <c r="B123" s="146">
        <f>IF(C123="","","POL-"&amp;TEXT(ROW()-4,"0000"))</f>
        <v/>
      </c>
      <c r="C123" s="146" t="n"/>
      <c r="D123" s="146" t="n"/>
      <c r="E123" s="146" t="n"/>
      <c r="F123" s="147" t="n"/>
      <c r="G123" s="146" t="n"/>
      <c r="H123" s="139">
        <f>IF(OR(G123="Renewed",G123=""),0,IF(TODAY()&gt;F123,TODAY()-F123,0))</f>
        <v/>
      </c>
      <c r="I123" s="146" t="n"/>
      <c r="J123" s="146" t="n"/>
      <c r="K123" s="83" t="n"/>
      <c r="L123" s="140">
        <f>IF(AND(G123&lt;&gt;"Renewed",F123&lt;&gt;"",F123&gt;=TODAY()),SUMPRODUCT(($G$5:$G$304&lt;&gt;"Renewed")*($F$5:$F$304&lt;&gt;"")*($F$5:$F$304&gt;=TODAY())*($F$5:$F$304&lt;F123))+SUMPRODUCT(($G$5:$G$304&lt;&gt;"Renewed")*($F$5:$F$304=F123)*(ROW($F$5:$F$304)&lt;ROW(F123)))+1,"")</f>
        <v/>
      </c>
      <c r="M123" s="140">
        <f>IF(H123&gt;0,SUMPRODUCT(($H$5:$H$304&gt;H123))+SUMPRODUCT(($H$5:$H$304=H123)*(ROW($H$5:$H$304)&lt;ROW(H123)))+1,"")</f>
        <v/>
      </c>
      <c r="N123" s="140">
        <f>IF(F123&lt;&gt;"",SUMPRODUCT(($F$5:$F$304=F123)*(ROW($F$5:$F$304)&lt;ROW(F123)))+1,"")</f>
        <v/>
      </c>
      <c r="O123" s="140">
        <f>IF(F123&lt;&gt;"",TEXT(F123,"yyyymmdd")&amp;"-"&amp;N123,"")</f>
        <v/>
      </c>
    </row>
    <row r="124" ht="15" customHeight="1" s="82">
      <c r="A124" s="83" t="n"/>
      <c r="B124" s="144">
        <f>IF(C124="","","POL-"&amp;TEXT(ROW()-4,"0000"))</f>
        <v/>
      </c>
      <c r="C124" s="144" t="n"/>
      <c r="D124" s="144" t="n"/>
      <c r="E124" s="144" t="n"/>
      <c r="F124" s="145" t="n"/>
      <c r="G124" s="144" t="n"/>
      <c r="H124" s="143">
        <f>IF(OR(G124="Renewed",G124=""),0,IF(TODAY()&gt;F124,TODAY()-F124,0))</f>
        <v/>
      </c>
      <c r="I124" s="144" t="n"/>
      <c r="J124" s="144" t="n"/>
      <c r="K124" s="83" t="n"/>
      <c r="L124" s="140">
        <f>IF(AND(G124&lt;&gt;"Renewed",F124&lt;&gt;"",F124&gt;=TODAY()),SUMPRODUCT(($G$5:$G$304&lt;&gt;"Renewed")*($F$5:$F$304&lt;&gt;"")*($F$5:$F$304&gt;=TODAY())*($F$5:$F$304&lt;F124))+SUMPRODUCT(($G$5:$G$304&lt;&gt;"Renewed")*($F$5:$F$304=F124)*(ROW($F$5:$F$304)&lt;ROW(F124)))+1,"")</f>
        <v/>
      </c>
      <c r="M124" s="140">
        <f>IF(H124&gt;0,SUMPRODUCT(($H$5:$H$304&gt;H124))+SUMPRODUCT(($H$5:$H$304=H124)*(ROW($H$5:$H$304)&lt;ROW(H124)))+1,"")</f>
        <v/>
      </c>
      <c r="N124" s="140">
        <f>IF(F124&lt;&gt;"",SUMPRODUCT(($F$5:$F$304=F124)*(ROW($F$5:$F$304)&lt;ROW(F124)))+1,"")</f>
        <v/>
      </c>
      <c r="O124" s="140">
        <f>IF(F124&lt;&gt;"",TEXT(F124,"yyyymmdd")&amp;"-"&amp;N124,"")</f>
        <v/>
      </c>
    </row>
    <row r="125" ht="15" customHeight="1" s="82">
      <c r="A125" s="83" t="n"/>
      <c r="B125" s="146">
        <f>IF(C125="","","POL-"&amp;TEXT(ROW()-4,"0000"))</f>
        <v/>
      </c>
      <c r="C125" s="146" t="n"/>
      <c r="D125" s="146" t="n"/>
      <c r="E125" s="146" t="n"/>
      <c r="F125" s="147" t="n"/>
      <c r="G125" s="146" t="n"/>
      <c r="H125" s="139">
        <f>IF(OR(G125="Renewed",G125=""),0,IF(TODAY()&gt;F125,TODAY()-F125,0))</f>
        <v/>
      </c>
      <c r="I125" s="146" t="n"/>
      <c r="J125" s="146" t="n"/>
      <c r="K125" s="83" t="n"/>
      <c r="L125" s="140">
        <f>IF(AND(G125&lt;&gt;"Renewed",F125&lt;&gt;"",F125&gt;=TODAY()),SUMPRODUCT(($G$5:$G$304&lt;&gt;"Renewed")*($F$5:$F$304&lt;&gt;"")*($F$5:$F$304&gt;=TODAY())*($F$5:$F$304&lt;F125))+SUMPRODUCT(($G$5:$G$304&lt;&gt;"Renewed")*($F$5:$F$304=F125)*(ROW($F$5:$F$304)&lt;ROW(F125)))+1,"")</f>
        <v/>
      </c>
      <c r="M125" s="140">
        <f>IF(H125&gt;0,SUMPRODUCT(($H$5:$H$304&gt;H125))+SUMPRODUCT(($H$5:$H$304=H125)*(ROW($H$5:$H$304)&lt;ROW(H125)))+1,"")</f>
        <v/>
      </c>
      <c r="N125" s="140">
        <f>IF(F125&lt;&gt;"",SUMPRODUCT(($F$5:$F$304=F125)*(ROW($F$5:$F$304)&lt;ROW(F125)))+1,"")</f>
        <v/>
      </c>
      <c r="O125" s="140">
        <f>IF(F125&lt;&gt;"",TEXT(F125,"yyyymmdd")&amp;"-"&amp;N125,"")</f>
        <v/>
      </c>
    </row>
    <row r="126" ht="15" customHeight="1" s="82">
      <c r="A126" s="83" t="n"/>
      <c r="B126" s="144">
        <f>IF(C126="","","POL-"&amp;TEXT(ROW()-4,"0000"))</f>
        <v/>
      </c>
      <c r="C126" s="144" t="n"/>
      <c r="D126" s="144" t="n"/>
      <c r="E126" s="144" t="n"/>
      <c r="F126" s="145" t="n"/>
      <c r="G126" s="144" t="n"/>
      <c r="H126" s="143">
        <f>IF(OR(G126="Renewed",G126=""),0,IF(TODAY()&gt;F126,TODAY()-F126,0))</f>
        <v/>
      </c>
      <c r="I126" s="144" t="n"/>
      <c r="J126" s="144" t="n"/>
      <c r="K126" s="83" t="n"/>
      <c r="L126" s="140">
        <f>IF(AND(G126&lt;&gt;"Renewed",F126&lt;&gt;"",F126&gt;=TODAY()),SUMPRODUCT(($G$5:$G$304&lt;&gt;"Renewed")*($F$5:$F$304&lt;&gt;"")*($F$5:$F$304&gt;=TODAY())*($F$5:$F$304&lt;F126))+SUMPRODUCT(($G$5:$G$304&lt;&gt;"Renewed")*($F$5:$F$304=F126)*(ROW($F$5:$F$304)&lt;ROW(F126)))+1,"")</f>
        <v/>
      </c>
      <c r="M126" s="140">
        <f>IF(H126&gt;0,SUMPRODUCT(($H$5:$H$304&gt;H126))+SUMPRODUCT(($H$5:$H$304=H126)*(ROW($H$5:$H$304)&lt;ROW(H126)))+1,"")</f>
        <v/>
      </c>
      <c r="N126" s="140">
        <f>IF(F126&lt;&gt;"",SUMPRODUCT(($F$5:$F$304=F126)*(ROW($F$5:$F$304)&lt;ROW(F126)))+1,"")</f>
        <v/>
      </c>
      <c r="O126" s="140">
        <f>IF(F126&lt;&gt;"",TEXT(F126,"yyyymmdd")&amp;"-"&amp;N126,"")</f>
        <v/>
      </c>
    </row>
    <row r="127" ht="15" customHeight="1" s="82">
      <c r="A127" s="83" t="n"/>
      <c r="B127" s="146">
        <f>IF(C127="","","POL-"&amp;TEXT(ROW()-4,"0000"))</f>
        <v/>
      </c>
      <c r="C127" s="146" t="n"/>
      <c r="D127" s="146" t="n"/>
      <c r="E127" s="146" t="n"/>
      <c r="F127" s="147" t="n"/>
      <c r="G127" s="146" t="n"/>
      <c r="H127" s="139">
        <f>IF(OR(G127="Renewed",G127=""),0,IF(TODAY()&gt;F127,TODAY()-F127,0))</f>
        <v/>
      </c>
      <c r="I127" s="146" t="n"/>
      <c r="J127" s="146" t="n"/>
      <c r="K127" s="83" t="n"/>
      <c r="L127" s="140">
        <f>IF(AND(G127&lt;&gt;"Renewed",F127&lt;&gt;"",F127&gt;=TODAY()),SUMPRODUCT(($G$5:$G$304&lt;&gt;"Renewed")*($F$5:$F$304&lt;&gt;"")*($F$5:$F$304&gt;=TODAY())*($F$5:$F$304&lt;F127))+SUMPRODUCT(($G$5:$G$304&lt;&gt;"Renewed")*($F$5:$F$304=F127)*(ROW($F$5:$F$304)&lt;ROW(F127)))+1,"")</f>
        <v/>
      </c>
      <c r="M127" s="140">
        <f>IF(H127&gt;0,SUMPRODUCT(($H$5:$H$304&gt;H127))+SUMPRODUCT(($H$5:$H$304=H127)*(ROW($H$5:$H$304)&lt;ROW(H127)))+1,"")</f>
        <v/>
      </c>
      <c r="N127" s="140">
        <f>IF(F127&lt;&gt;"",SUMPRODUCT(($F$5:$F$304=F127)*(ROW($F$5:$F$304)&lt;ROW(F127)))+1,"")</f>
        <v/>
      </c>
      <c r="O127" s="140">
        <f>IF(F127&lt;&gt;"",TEXT(F127,"yyyymmdd")&amp;"-"&amp;N127,"")</f>
        <v/>
      </c>
    </row>
    <row r="128" ht="15" customHeight="1" s="82">
      <c r="A128" s="83" t="n"/>
      <c r="B128" s="144">
        <f>IF(C128="","","POL-"&amp;TEXT(ROW()-4,"0000"))</f>
        <v/>
      </c>
      <c r="C128" s="144" t="n"/>
      <c r="D128" s="144" t="n"/>
      <c r="E128" s="144" t="n"/>
      <c r="F128" s="145" t="n"/>
      <c r="G128" s="144" t="n"/>
      <c r="H128" s="143">
        <f>IF(OR(G128="Renewed",G128=""),0,IF(TODAY()&gt;F128,TODAY()-F128,0))</f>
        <v/>
      </c>
      <c r="I128" s="144" t="n"/>
      <c r="J128" s="144" t="n"/>
      <c r="K128" s="83" t="n"/>
      <c r="L128" s="140">
        <f>IF(AND(G128&lt;&gt;"Renewed",F128&lt;&gt;"",F128&gt;=TODAY()),SUMPRODUCT(($G$5:$G$304&lt;&gt;"Renewed")*($F$5:$F$304&lt;&gt;"")*($F$5:$F$304&gt;=TODAY())*($F$5:$F$304&lt;F128))+SUMPRODUCT(($G$5:$G$304&lt;&gt;"Renewed")*($F$5:$F$304=F128)*(ROW($F$5:$F$304)&lt;ROW(F128)))+1,"")</f>
        <v/>
      </c>
      <c r="M128" s="140">
        <f>IF(H128&gt;0,SUMPRODUCT(($H$5:$H$304&gt;H128))+SUMPRODUCT(($H$5:$H$304=H128)*(ROW($H$5:$H$304)&lt;ROW(H128)))+1,"")</f>
        <v/>
      </c>
      <c r="N128" s="140">
        <f>IF(F128&lt;&gt;"",SUMPRODUCT(($F$5:$F$304=F128)*(ROW($F$5:$F$304)&lt;ROW(F128)))+1,"")</f>
        <v/>
      </c>
      <c r="O128" s="140">
        <f>IF(F128&lt;&gt;"",TEXT(F128,"yyyymmdd")&amp;"-"&amp;N128,"")</f>
        <v/>
      </c>
    </row>
    <row r="129" ht="15" customHeight="1" s="82">
      <c r="A129" s="83" t="n"/>
      <c r="B129" s="146">
        <f>IF(C129="","","POL-"&amp;TEXT(ROW()-4,"0000"))</f>
        <v/>
      </c>
      <c r="C129" s="146" t="n"/>
      <c r="D129" s="146" t="n"/>
      <c r="E129" s="146" t="n"/>
      <c r="F129" s="147" t="n"/>
      <c r="G129" s="146" t="n"/>
      <c r="H129" s="139">
        <f>IF(OR(G129="Renewed",G129=""),0,IF(TODAY()&gt;F129,TODAY()-F129,0))</f>
        <v/>
      </c>
      <c r="I129" s="146" t="n"/>
      <c r="J129" s="146" t="n"/>
      <c r="K129" s="83" t="n"/>
      <c r="L129" s="140">
        <f>IF(AND(G129&lt;&gt;"Renewed",F129&lt;&gt;"",F129&gt;=TODAY()),SUMPRODUCT(($G$5:$G$304&lt;&gt;"Renewed")*($F$5:$F$304&lt;&gt;"")*($F$5:$F$304&gt;=TODAY())*($F$5:$F$304&lt;F129))+SUMPRODUCT(($G$5:$G$304&lt;&gt;"Renewed")*($F$5:$F$304=F129)*(ROW($F$5:$F$304)&lt;ROW(F129)))+1,"")</f>
        <v/>
      </c>
      <c r="M129" s="140">
        <f>IF(H129&gt;0,SUMPRODUCT(($H$5:$H$304&gt;H129))+SUMPRODUCT(($H$5:$H$304=H129)*(ROW($H$5:$H$304)&lt;ROW(H129)))+1,"")</f>
        <v/>
      </c>
      <c r="N129" s="140">
        <f>IF(F129&lt;&gt;"",SUMPRODUCT(($F$5:$F$304=F129)*(ROW($F$5:$F$304)&lt;ROW(F129)))+1,"")</f>
        <v/>
      </c>
      <c r="O129" s="140">
        <f>IF(F129&lt;&gt;"",TEXT(F129,"yyyymmdd")&amp;"-"&amp;N129,"")</f>
        <v/>
      </c>
    </row>
    <row r="130" ht="15" customHeight="1" s="82">
      <c r="A130" s="83" t="n"/>
      <c r="B130" s="144">
        <f>IF(C130="","","POL-"&amp;TEXT(ROW()-4,"0000"))</f>
        <v/>
      </c>
      <c r="C130" s="144" t="n"/>
      <c r="D130" s="144" t="n"/>
      <c r="E130" s="144" t="n"/>
      <c r="F130" s="145" t="n"/>
      <c r="G130" s="144" t="n"/>
      <c r="H130" s="143">
        <f>IF(OR(G130="Renewed",G130=""),0,IF(TODAY()&gt;F130,TODAY()-F130,0))</f>
        <v/>
      </c>
      <c r="I130" s="144" t="n"/>
      <c r="J130" s="144" t="n"/>
      <c r="K130" s="83" t="n"/>
      <c r="L130" s="140">
        <f>IF(AND(G130&lt;&gt;"Renewed",F130&lt;&gt;"",F130&gt;=TODAY()),SUMPRODUCT(($G$5:$G$304&lt;&gt;"Renewed")*($F$5:$F$304&lt;&gt;"")*($F$5:$F$304&gt;=TODAY())*($F$5:$F$304&lt;F130))+SUMPRODUCT(($G$5:$G$304&lt;&gt;"Renewed")*($F$5:$F$304=F130)*(ROW($F$5:$F$304)&lt;ROW(F130)))+1,"")</f>
        <v/>
      </c>
      <c r="M130" s="140">
        <f>IF(H130&gt;0,SUMPRODUCT(($H$5:$H$304&gt;H130))+SUMPRODUCT(($H$5:$H$304=H130)*(ROW($H$5:$H$304)&lt;ROW(H130)))+1,"")</f>
        <v/>
      </c>
      <c r="N130" s="140">
        <f>IF(F130&lt;&gt;"",SUMPRODUCT(($F$5:$F$304=F130)*(ROW($F$5:$F$304)&lt;ROW(F130)))+1,"")</f>
        <v/>
      </c>
      <c r="O130" s="140">
        <f>IF(F130&lt;&gt;"",TEXT(F130,"yyyymmdd")&amp;"-"&amp;N130,"")</f>
        <v/>
      </c>
    </row>
    <row r="131" ht="15" customHeight="1" s="82">
      <c r="A131" s="83" t="n"/>
      <c r="B131" s="146">
        <f>IF(C131="","","POL-"&amp;TEXT(ROW()-4,"0000"))</f>
        <v/>
      </c>
      <c r="C131" s="146" t="n"/>
      <c r="D131" s="146" t="n"/>
      <c r="E131" s="146" t="n"/>
      <c r="F131" s="147" t="n"/>
      <c r="G131" s="146" t="n"/>
      <c r="H131" s="139">
        <f>IF(OR(G131="Renewed",G131=""),0,IF(TODAY()&gt;F131,TODAY()-F131,0))</f>
        <v/>
      </c>
      <c r="I131" s="146" t="n"/>
      <c r="J131" s="146" t="n"/>
      <c r="K131" s="83" t="n"/>
      <c r="L131" s="140">
        <f>IF(AND(G131&lt;&gt;"Renewed",F131&lt;&gt;"",F131&gt;=TODAY()),SUMPRODUCT(($G$5:$G$304&lt;&gt;"Renewed")*($F$5:$F$304&lt;&gt;"")*($F$5:$F$304&gt;=TODAY())*($F$5:$F$304&lt;F131))+SUMPRODUCT(($G$5:$G$304&lt;&gt;"Renewed")*($F$5:$F$304=F131)*(ROW($F$5:$F$304)&lt;ROW(F131)))+1,"")</f>
        <v/>
      </c>
      <c r="M131" s="140">
        <f>IF(H131&gt;0,SUMPRODUCT(($H$5:$H$304&gt;H131))+SUMPRODUCT(($H$5:$H$304=H131)*(ROW($H$5:$H$304)&lt;ROW(H131)))+1,"")</f>
        <v/>
      </c>
      <c r="N131" s="140">
        <f>IF(F131&lt;&gt;"",SUMPRODUCT(($F$5:$F$304=F131)*(ROW($F$5:$F$304)&lt;ROW(F131)))+1,"")</f>
        <v/>
      </c>
      <c r="O131" s="140">
        <f>IF(F131&lt;&gt;"",TEXT(F131,"yyyymmdd")&amp;"-"&amp;N131,"")</f>
        <v/>
      </c>
    </row>
    <row r="132" ht="15" customHeight="1" s="82">
      <c r="A132" s="83" t="n"/>
      <c r="B132" s="144">
        <f>IF(C132="","","POL-"&amp;TEXT(ROW()-4,"0000"))</f>
        <v/>
      </c>
      <c r="C132" s="144" t="n"/>
      <c r="D132" s="144" t="n"/>
      <c r="E132" s="144" t="n"/>
      <c r="F132" s="145" t="n"/>
      <c r="G132" s="144" t="n"/>
      <c r="H132" s="143">
        <f>IF(OR(G132="Renewed",G132=""),0,IF(TODAY()&gt;F132,TODAY()-F132,0))</f>
        <v/>
      </c>
      <c r="I132" s="144" t="n"/>
      <c r="J132" s="144" t="n"/>
      <c r="K132" s="83" t="n"/>
      <c r="L132" s="140">
        <f>IF(AND(G132&lt;&gt;"Renewed",F132&lt;&gt;"",F132&gt;=TODAY()),SUMPRODUCT(($G$5:$G$304&lt;&gt;"Renewed")*($F$5:$F$304&lt;&gt;"")*($F$5:$F$304&gt;=TODAY())*($F$5:$F$304&lt;F132))+SUMPRODUCT(($G$5:$G$304&lt;&gt;"Renewed")*($F$5:$F$304=F132)*(ROW($F$5:$F$304)&lt;ROW(F132)))+1,"")</f>
        <v/>
      </c>
      <c r="M132" s="140">
        <f>IF(H132&gt;0,SUMPRODUCT(($H$5:$H$304&gt;H132))+SUMPRODUCT(($H$5:$H$304=H132)*(ROW($H$5:$H$304)&lt;ROW(H132)))+1,"")</f>
        <v/>
      </c>
      <c r="N132" s="140">
        <f>IF(F132&lt;&gt;"",SUMPRODUCT(($F$5:$F$304=F132)*(ROW($F$5:$F$304)&lt;ROW(F132)))+1,"")</f>
        <v/>
      </c>
      <c r="O132" s="140">
        <f>IF(F132&lt;&gt;"",TEXT(F132,"yyyymmdd")&amp;"-"&amp;N132,"")</f>
        <v/>
      </c>
    </row>
    <row r="133" ht="15" customHeight="1" s="82">
      <c r="A133" s="83" t="n"/>
      <c r="B133" s="146">
        <f>IF(C133="","","POL-"&amp;TEXT(ROW()-4,"0000"))</f>
        <v/>
      </c>
      <c r="C133" s="146" t="n"/>
      <c r="D133" s="146" t="n"/>
      <c r="E133" s="146" t="n"/>
      <c r="F133" s="147" t="n"/>
      <c r="G133" s="146" t="n"/>
      <c r="H133" s="139">
        <f>IF(OR(G133="Renewed",G133=""),0,IF(TODAY()&gt;F133,TODAY()-F133,0))</f>
        <v/>
      </c>
      <c r="I133" s="146" t="n"/>
      <c r="J133" s="146" t="n"/>
      <c r="K133" s="83" t="n"/>
      <c r="L133" s="140">
        <f>IF(AND(G133&lt;&gt;"Renewed",F133&lt;&gt;"",F133&gt;=TODAY()),SUMPRODUCT(($G$5:$G$304&lt;&gt;"Renewed")*($F$5:$F$304&lt;&gt;"")*($F$5:$F$304&gt;=TODAY())*($F$5:$F$304&lt;F133))+SUMPRODUCT(($G$5:$G$304&lt;&gt;"Renewed")*($F$5:$F$304=F133)*(ROW($F$5:$F$304)&lt;ROW(F133)))+1,"")</f>
        <v/>
      </c>
      <c r="M133" s="140">
        <f>IF(H133&gt;0,SUMPRODUCT(($H$5:$H$304&gt;H133))+SUMPRODUCT(($H$5:$H$304=H133)*(ROW($H$5:$H$304)&lt;ROW(H133)))+1,"")</f>
        <v/>
      </c>
      <c r="N133" s="140">
        <f>IF(F133&lt;&gt;"",SUMPRODUCT(($F$5:$F$304=F133)*(ROW($F$5:$F$304)&lt;ROW(F133)))+1,"")</f>
        <v/>
      </c>
      <c r="O133" s="140">
        <f>IF(F133&lt;&gt;"",TEXT(F133,"yyyymmdd")&amp;"-"&amp;N133,"")</f>
        <v/>
      </c>
    </row>
    <row r="134" ht="15" customHeight="1" s="82">
      <c r="A134" s="83" t="n"/>
      <c r="B134" s="144">
        <f>IF(C134="","","POL-"&amp;TEXT(ROW()-4,"0000"))</f>
        <v/>
      </c>
      <c r="C134" s="144" t="n"/>
      <c r="D134" s="144" t="n"/>
      <c r="E134" s="144" t="n"/>
      <c r="F134" s="145" t="n"/>
      <c r="G134" s="144" t="n"/>
      <c r="H134" s="143">
        <f>IF(OR(G134="Renewed",G134=""),0,IF(TODAY()&gt;F134,TODAY()-F134,0))</f>
        <v/>
      </c>
      <c r="I134" s="144" t="n"/>
      <c r="J134" s="144" t="n"/>
      <c r="K134" s="83" t="n"/>
      <c r="L134" s="140">
        <f>IF(AND(G134&lt;&gt;"Renewed",F134&lt;&gt;"",F134&gt;=TODAY()),SUMPRODUCT(($G$5:$G$304&lt;&gt;"Renewed")*($F$5:$F$304&lt;&gt;"")*($F$5:$F$304&gt;=TODAY())*($F$5:$F$304&lt;F134))+SUMPRODUCT(($G$5:$G$304&lt;&gt;"Renewed")*($F$5:$F$304=F134)*(ROW($F$5:$F$304)&lt;ROW(F134)))+1,"")</f>
        <v/>
      </c>
      <c r="M134" s="140">
        <f>IF(H134&gt;0,SUMPRODUCT(($H$5:$H$304&gt;H134))+SUMPRODUCT(($H$5:$H$304=H134)*(ROW($H$5:$H$304)&lt;ROW(H134)))+1,"")</f>
        <v/>
      </c>
      <c r="N134" s="140">
        <f>IF(F134&lt;&gt;"",SUMPRODUCT(($F$5:$F$304=F134)*(ROW($F$5:$F$304)&lt;ROW(F134)))+1,"")</f>
        <v/>
      </c>
      <c r="O134" s="140">
        <f>IF(F134&lt;&gt;"",TEXT(F134,"yyyymmdd")&amp;"-"&amp;N134,"")</f>
        <v/>
      </c>
    </row>
    <row r="135" ht="15" customHeight="1" s="82">
      <c r="A135" s="83" t="n"/>
      <c r="B135" s="146">
        <f>IF(C135="","","POL-"&amp;TEXT(ROW()-4,"0000"))</f>
        <v/>
      </c>
      <c r="C135" s="146" t="n"/>
      <c r="D135" s="146" t="n"/>
      <c r="E135" s="146" t="n"/>
      <c r="F135" s="147" t="n"/>
      <c r="G135" s="146" t="n"/>
      <c r="H135" s="139">
        <f>IF(OR(G135="Renewed",G135=""),0,IF(TODAY()&gt;F135,TODAY()-F135,0))</f>
        <v/>
      </c>
      <c r="I135" s="146" t="n"/>
      <c r="J135" s="146" t="n"/>
      <c r="K135" s="83" t="n"/>
      <c r="L135" s="140">
        <f>IF(AND(G135&lt;&gt;"Renewed",F135&lt;&gt;"",F135&gt;=TODAY()),SUMPRODUCT(($G$5:$G$304&lt;&gt;"Renewed")*($F$5:$F$304&lt;&gt;"")*($F$5:$F$304&gt;=TODAY())*($F$5:$F$304&lt;F135))+SUMPRODUCT(($G$5:$G$304&lt;&gt;"Renewed")*($F$5:$F$304=F135)*(ROW($F$5:$F$304)&lt;ROW(F135)))+1,"")</f>
        <v/>
      </c>
      <c r="M135" s="140">
        <f>IF(H135&gt;0,SUMPRODUCT(($H$5:$H$304&gt;H135))+SUMPRODUCT(($H$5:$H$304=H135)*(ROW($H$5:$H$304)&lt;ROW(H135)))+1,"")</f>
        <v/>
      </c>
      <c r="N135" s="140">
        <f>IF(F135&lt;&gt;"",SUMPRODUCT(($F$5:$F$304=F135)*(ROW($F$5:$F$304)&lt;ROW(F135)))+1,"")</f>
        <v/>
      </c>
      <c r="O135" s="140">
        <f>IF(F135&lt;&gt;"",TEXT(F135,"yyyymmdd")&amp;"-"&amp;N135,"")</f>
        <v/>
      </c>
    </row>
    <row r="136" ht="15" customHeight="1" s="82">
      <c r="A136" s="83" t="n"/>
      <c r="B136" s="144">
        <f>IF(C136="","","POL-"&amp;TEXT(ROW()-4,"0000"))</f>
        <v/>
      </c>
      <c r="C136" s="144" t="n"/>
      <c r="D136" s="144" t="n"/>
      <c r="E136" s="144" t="n"/>
      <c r="F136" s="145" t="n"/>
      <c r="G136" s="144" t="n"/>
      <c r="H136" s="143">
        <f>IF(OR(G136="Renewed",G136=""),0,IF(TODAY()&gt;F136,TODAY()-F136,0))</f>
        <v/>
      </c>
      <c r="I136" s="144" t="n"/>
      <c r="J136" s="144" t="n"/>
      <c r="K136" s="83" t="n"/>
      <c r="L136" s="140">
        <f>IF(AND(G136&lt;&gt;"Renewed",F136&lt;&gt;"",F136&gt;=TODAY()),SUMPRODUCT(($G$5:$G$304&lt;&gt;"Renewed")*($F$5:$F$304&lt;&gt;"")*($F$5:$F$304&gt;=TODAY())*($F$5:$F$304&lt;F136))+SUMPRODUCT(($G$5:$G$304&lt;&gt;"Renewed")*($F$5:$F$304=F136)*(ROW($F$5:$F$304)&lt;ROW(F136)))+1,"")</f>
        <v/>
      </c>
      <c r="M136" s="140">
        <f>IF(H136&gt;0,SUMPRODUCT(($H$5:$H$304&gt;H136))+SUMPRODUCT(($H$5:$H$304=H136)*(ROW($H$5:$H$304)&lt;ROW(H136)))+1,"")</f>
        <v/>
      </c>
      <c r="N136" s="140">
        <f>IF(F136&lt;&gt;"",SUMPRODUCT(($F$5:$F$304=F136)*(ROW($F$5:$F$304)&lt;ROW(F136)))+1,"")</f>
        <v/>
      </c>
      <c r="O136" s="140">
        <f>IF(F136&lt;&gt;"",TEXT(F136,"yyyymmdd")&amp;"-"&amp;N136,"")</f>
        <v/>
      </c>
    </row>
    <row r="137" ht="15" customHeight="1" s="82">
      <c r="A137" s="83" t="n"/>
      <c r="B137" s="146">
        <f>IF(C137="","","POL-"&amp;TEXT(ROW()-4,"0000"))</f>
        <v/>
      </c>
      <c r="C137" s="146" t="n"/>
      <c r="D137" s="146" t="n"/>
      <c r="E137" s="146" t="n"/>
      <c r="F137" s="147" t="n"/>
      <c r="G137" s="146" t="n"/>
      <c r="H137" s="139">
        <f>IF(OR(G137="Renewed",G137=""),0,IF(TODAY()&gt;F137,TODAY()-F137,0))</f>
        <v/>
      </c>
      <c r="I137" s="146" t="n"/>
      <c r="J137" s="146" t="n"/>
      <c r="K137" s="83" t="n"/>
      <c r="L137" s="140">
        <f>IF(AND(G137&lt;&gt;"Renewed",F137&lt;&gt;"",F137&gt;=TODAY()),SUMPRODUCT(($G$5:$G$304&lt;&gt;"Renewed")*($F$5:$F$304&lt;&gt;"")*($F$5:$F$304&gt;=TODAY())*($F$5:$F$304&lt;F137))+SUMPRODUCT(($G$5:$G$304&lt;&gt;"Renewed")*($F$5:$F$304=F137)*(ROW($F$5:$F$304)&lt;ROW(F137)))+1,"")</f>
        <v/>
      </c>
      <c r="M137" s="140">
        <f>IF(H137&gt;0,SUMPRODUCT(($H$5:$H$304&gt;H137))+SUMPRODUCT(($H$5:$H$304=H137)*(ROW($H$5:$H$304)&lt;ROW(H137)))+1,"")</f>
        <v/>
      </c>
      <c r="N137" s="140">
        <f>IF(F137&lt;&gt;"",SUMPRODUCT(($F$5:$F$304=F137)*(ROW($F$5:$F$304)&lt;ROW(F137)))+1,"")</f>
        <v/>
      </c>
      <c r="O137" s="140">
        <f>IF(F137&lt;&gt;"",TEXT(F137,"yyyymmdd")&amp;"-"&amp;N137,"")</f>
        <v/>
      </c>
    </row>
    <row r="138" ht="15" customHeight="1" s="82">
      <c r="A138" s="83" t="n"/>
      <c r="B138" s="144">
        <f>IF(C138="","","POL-"&amp;TEXT(ROW()-4,"0000"))</f>
        <v/>
      </c>
      <c r="C138" s="144" t="n"/>
      <c r="D138" s="144" t="n"/>
      <c r="E138" s="144" t="n"/>
      <c r="F138" s="145" t="n"/>
      <c r="G138" s="144" t="n"/>
      <c r="H138" s="143">
        <f>IF(OR(G138="Renewed",G138=""),0,IF(TODAY()&gt;F138,TODAY()-F138,0))</f>
        <v/>
      </c>
      <c r="I138" s="144" t="n"/>
      <c r="J138" s="144" t="n"/>
      <c r="K138" s="83" t="n"/>
      <c r="L138" s="140">
        <f>IF(AND(G138&lt;&gt;"Renewed",F138&lt;&gt;"",F138&gt;=TODAY()),SUMPRODUCT(($G$5:$G$304&lt;&gt;"Renewed")*($F$5:$F$304&lt;&gt;"")*($F$5:$F$304&gt;=TODAY())*($F$5:$F$304&lt;F138))+SUMPRODUCT(($G$5:$G$304&lt;&gt;"Renewed")*($F$5:$F$304=F138)*(ROW($F$5:$F$304)&lt;ROW(F138)))+1,"")</f>
        <v/>
      </c>
      <c r="M138" s="140">
        <f>IF(H138&gt;0,SUMPRODUCT(($H$5:$H$304&gt;H138))+SUMPRODUCT(($H$5:$H$304=H138)*(ROW($H$5:$H$304)&lt;ROW(H138)))+1,"")</f>
        <v/>
      </c>
      <c r="N138" s="140">
        <f>IF(F138&lt;&gt;"",SUMPRODUCT(($F$5:$F$304=F138)*(ROW($F$5:$F$304)&lt;ROW(F138)))+1,"")</f>
        <v/>
      </c>
      <c r="O138" s="140">
        <f>IF(F138&lt;&gt;"",TEXT(F138,"yyyymmdd")&amp;"-"&amp;N138,"")</f>
        <v/>
      </c>
    </row>
    <row r="139" ht="15" customHeight="1" s="82">
      <c r="A139" s="83" t="n"/>
      <c r="B139" s="146">
        <f>IF(C139="","","POL-"&amp;TEXT(ROW()-4,"0000"))</f>
        <v/>
      </c>
      <c r="C139" s="146" t="n"/>
      <c r="D139" s="146" t="n"/>
      <c r="E139" s="146" t="n"/>
      <c r="F139" s="147" t="n"/>
      <c r="G139" s="146" t="n"/>
      <c r="H139" s="139">
        <f>IF(OR(G139="Renewed",G139=""),0,IF(TODAY()&gt;F139,TODAY()-F139,0))</f>
        <v/>
      </c>
      <c r="I139" s="146" t="n"/>
      <c r="J139" s="146" t="n"/>
      <c r="K139" s="83" t="n"/>
      <c r="L139" s="140">
        <f>IF(AND(G139&lt;&gt;"Renewed",F139&lt;&gt;"",F139&gt;=TODAY()),SUMPRODUCT(($G$5:$G$304&lt;&gt;"Renewed")*($F$5:$F$304&lt;&gt;"")*($F$5:$F$304&gt;=TODAY())*($F$5:$F$304&lt;F139))+SUMPRODUCT(($G$5:$G$304&lt;&gt;"Renewed")*($F$5:$F$304=F139)*(ROW($F$5:$F$304)&lt;ROW(F139)))+1,"")</f>
        <v/>
      </c>
      <c r="M139" s="140">
        <f>IF(H139&gt;0,SUMPRODUCT(($H$5:$H$304&gt;H139))+SUMPRODUCT(($H$5:$H$304=H139)*(ROW($H$5:$H$304)&lt;ROW(H139)))+1,"")</f>
        <v/>
      </c>
      <c r="N139" s="140">
        <f>IF(F139&lt;&gt;"",SUMPRODUCT(($F$5:$F$304=F139)*(ROW($F$5:$F$304)&lt;ROW(F139)))+1,"")</f>
        <v/>
      </c>
      <c r="O139" s="140">
        <f>IF(F139&lt;&gt;"",TEXT(F139,"yyyymmdd")&amp;"-"&amp;N139,"")</f>
        <v/>
      </c>
    </row>
    <row r="140" ht="15" customHeight="1" s="82">
      <c r="A140" s="83" t="n"/>
      <c r="B140" s="144">
        <f>IF(C140="","","POL-"&amp;TEXT(ROW()-4,"0000"))</f>
        <v/>
      </c>
      <c r="C140" s="144" t="n"/>
      <c r="D140" s="144" t="n"/>
      <c r="E140" s="144" t="n"/>
      <c r="F140" s="145" t="n"/>
      <c r="G140" s="144" t="n"/>
      <c r="H140" s="143">
        <f>IF(OR(G140="Renewed",G140=""),0,IF(TODAY()&gt;F140,TODAY()-F140,0))</f>
        <v/>
      </c>
      <c r="I140" s="144" t="n"/>
      <c r="J140" s="144" t="n"/>
      <c r="K140" s="83" t="n"/>
      <c r="L140" s="140">
        <f>IF(AND(G140&lt;&gt;"Renewed",F140&lt;&gt;"",F140&gt;=TODAY()),SUMPRODUCT(($G$5:$G$304&lt;&gt;"Renewed")*($F$5:$F$304&lt;&gt;"")*($F$5:$F$304&gt;=TODAY())*($F$5:$F$304&lt;F140))+SUMPRODUCT(($G$5:$G$304&lt;&gt;"Renewed")*($F$5:$F$304=F140)*(ROW($F$5:$F$304)&lt;ROW(F140)))+1,"")</f>
        <v/>
      </c>
      <c r="M140" s="140">
        <f>IF(H140&gt;0,SUMPRODUCT(($H$5:$H$304&gt;H140))+SUMPRODUCT(($H$5:$H$304=H140)*(ROW($H$5:$H$304)&lt;ROW(H140)))+1,"")</f>
        <v/>
      </c>
      <c r="N140" s="140">
        <f>IF(F140&lt;&gt;"",SUMPRODUCT(($F$5:$F$304=F140)*(ROW($F$5:$F$304)&lt;ROW(F140)))+1,"")</f>
        <v/>
      </c>
      <c r="O140" s="140">
        <f>IF(F140&lt;&gt;"",TEXT(F140,"yyyymmdd")&amp;"-"&amp;N140,"")</f>
        <v/>
      </c>
    </row>
    <row r="141" ht="15" customHeight="1" s="82">
      <c r="A141" s="83" t="n"/>
      <c r="B141" s="146">
        <f>IF(C141="","","POL-"&amp;TEXT(ROW()-4,"0000"))</f>
        <v/>
      </c>
      <c r="C141" s="146" t="n"/>
      <c r="D141" s="146" t="n"/>
      <c r="E141" s="146" t="n"/>
      <c r="F141" s="147" t="n"/>
      <c r="G141" s="146" t="n"/>
      <c r="H141" s="139">
        <f>IF(OR(G141="Renewed",G141=""),0,IF(TODAY()&gt;F141,TODAY()-F141,0))</f>
        <v/>
      </c>
      <c r="I141" s="146" t="n"/>
      <c r="J141" s="146" t="n"/>
      <c r="K141" s="83" t="n"/>
      <c r="L141" s="140">
        <f>IF(AND(G141&lt;&gt;"Renewed",F141&lt;&gt;"",F141&gt;=TODAY()),SUMPRODUCT(($G$5:$G$304&lt;&gt;"Renewed")*($F$5:$F$304&lt;&gt;"")*($F$5:$F$304&gt;=TODAY())*($F$5:$F$304&lt;F141))+SUMPRODUCT(($G$5:$G$304&lt;&gt;"Renewed")*($F$5:$F$304=F141)*(ROW($F$5:$F$304)&lt;ROW(F141)))+1,"")</f>
        <v/>
      </c>
      <c r="M141" s="140">
        <f>IF(H141&gt;0,SUMPRODUCT(($H$5:$H$304&gt;H141))+SUMPRODUCT(($H$5:$H$304=H141)*(ROW($H$5:$H$304)&lt;ROW(H141)))+1,"")</f>
        <v/>
      </c>
      <c r="N141" s="140">
        <f>IF(F141&lt;&gt;"",SUMPRODUCT(($F$5:$F$304=F141)*(ROW($F$5:$F$304)&lt;ROW(F141)))+1,"")</f>
        <v/>
      </c>
      <c r="O141" s="140">
        <f>IF(F141&lt;&gt;"",TEXT(F141,"yyyymmdd")&amp;"-"&amp;N141,"")</f>
        <v/>
      </c>
    </row>
    <row r="142" ht="15" customHeight="1" s="82">
      <c r="A142" s="83" t="n"/>
      <c r="B142" s="144">
        <f>IF(C142="","","POL-"&amp;TEXT(ROW()-4,"0000"))</f>
        <v/>
      </c>
      <c r="C142" s="144" t="n"/>
      <c r="D142" s="144" t="n"/>
      <c r="E142" s="144" t="n"/>
      <c r="F142" s="145" t="n"/>
      <c r="G142" s="144" t="n"/>
      <c r="H142" s="143">
        <f>IF(OR(G142="Renewed",G142=""),0,IF(TODAY()&gt;F142,TODAY()-F142,0))</f>
        <v/>
      </c>
      <c r="I142" s="144" t="n"/>
      <c r="J142" s="144" t="n"/>
      <c r="K142" s="83" t="n"/>
      <c r="L142" s="140">
        <f>IF(AND(G142&lt;&gt;"Renewed",F142&lt;&gt;"",F142&gt;=TODAY()),SUMPRODUCT(($G$5:$G$304&lt;&gt;"Renewed")*($F$5:$F$304&lt;&gt;"")*($F$5:$F$304&gt;=TODAY())*($F$5:$F$304&lt;F142))+SUMPRODUCT(($G$5:$G$304&lt;&gt;"Renewed")*($F$5:$F$304=F142)*(ROW($F$5:$F$304)&lt;ROW(F142)))+1,"")</f>
        <v/>
      </c>
      <c r="M142" s="140">
        <f>IF(H142&gt;0,SUMPRODUCT(($H$5:$H$304&gt;H142))+SUMPRODUCT(($H$5:$H$304=H142)*(ROW($H$5:$H$304)&lt;ROW(H142)))+1,"")</f>
        <v/>
      </c>
      <c r="N142" s="140">
        <f>IF(F142&lt;&gt;"",SUMPRODUCT(($F$5:$F$304=F142)*(ROW($F$5:$F$304)&lt;ROW(F142)))+1,"")</f>
        <v/>
      </c>
      <c r="O142" s="140">
        <f>IF(F142&lt;&gt;"",TEXT(F142,"yyyymmdd")&amp;"-"&amp;N142,"")</f>
        <v/>
      </c>
    </row>
    <row r="143" ht="15" customHeight="1" s="82">
      <c r="A143" s="83" t="n"/>
      <c r="B143" s="146">
        <f>IF(C143="","","POL-"&amp;TEXT(ROW()-4,"0000"))</f>
        <v/>
      </c>
      <c r="C143" s="146" t="n"/>
      <c r="D143" s="146" t="n"/>
      <c r="E143" s="146" t="n"/>
      <c r="F143" s="147" t="n"/>
      <c r="G143" s="146" t="n"/>
      <c r="H143" s="139">
        <f>IF(OR(G143="Renewed",G143=""),0,IF(TODAY()&gt;F143,TODAY()-F143,0))</f>
        <v/>
      </c>
      <c r="I143" s="146" t="n"/>
      <c r="J143" s="146" t="n"/>
      <c r="K143" s="83" t="n"/>
      <c r="L143" s="140">
        <f>IF(AND(G143&lt;&gt;"Renewed",F143&lt;&gt;"",F143&gt;=TODAY()),SUMPRODUCT(($G$5:$G$304&lt;&gt;"Renewed")*($F$5:$F$304&lt;&gt;"")*($F$5:$F$304&gt;=TODAY())*($F$5:$F$304&lt;F143))+SUMPRODUCT(($G$5:$G$304&lt;&gt;"Renewed")*($F$5:$F$304=F143)*(ROW($F$5:$F$304)&lt;ROW(F143)))+1,"")</f>
        <v/>
      </c>
      <c r="M143" s="140">
        <f>IF(H143&gt;0,SUMPRODUCT(($H$5:$H$304&gt;H143))+SUMPRODUCT(($H$5:$H$304=H143)*(ROW($H$5:$H$304)&lt;ROW(H143)))+1,"")</f>
        <v/>
      </c>
      <c r="N143" s="140">
        <f>IF(F143&lt;&gt;"",SUMPRODUCT(($F$5:$F$304=F143)*(ROW($F$5:$F$304)&lt;ROW(F143)))+1,"")</f>
        <v/>
      </c>
      <c r="O143" s="140">
        <f>IF(F143&lt;&gt;"",TEXT(F143,"yyyymmdd")&amp;"-"&amp;N143,"")</f>
        <v/>
      </c>
    </row>
    <row r="144" ht="15" customHeight="1" s="82">
      <c r="A144" s="83" t="n"/>
      <c r="B144" s="144">
        <f>IF(C144="","","POL-"&amp;TEXT(ROW()-4,"0000"))</f>
        <v/>
      </c>
      <c r="C144" s="144" t="n"/>
      <c r="D144" s="144" t="n"/>
      <c r="E144" s="144" t="n"/>
      <c r="F144" s="145" t="n"/>
      <c r="G144" s="144" t="n"/>
      <c r="H144" s="143">
        <f>IF(OR(G144="Renewed",G144=""),0,IF(TODAY()&gt;F144,TODAY()-F144,0))</f>
        <v/>
      </c>
      <c r="I144" s="144" t="n"/>
      <c r="J144" s="144" t="n"/>
      <c r="K144" s="83" t="n"/>
      <c r="L144" s="140">
        <f>IF(AND(G144&lt;&gt;"Renewed",F144&lt;&gt;"",F144&gt;=TODAY()),SUMPRODUCT(($G$5:$G$304&lt;&gt;"Renewed")*($F$5:$F$304&lt;&gt;"")*($F$5:$F$304&gt;=TODAY())*($F$5:$F$304&lt;F144))+SUMPRODUCT(($G$5:$G$304&lt;&gt;"Renewed")*($F$5:$F$304=F144)*(ROW($F$5:$F$304)&lt;ROW(F144)))+1,"")</f>
        <v/>
      </c>
      <c r="M144" s="140">
        <f>IF(H144&gt;0,SUMPRODUCT(($H$5:$H$304&gt;H144))+SUMPRODUCT(($H$5:$H$304=H144)*(ROW($H$5:$H$304)&lt;ROW(H144)))+1,"")</f>
        <v/>
      </c>
      <c r="N144" s="140">
        <f>IF(F144&lt;&gt;"",SUMPRODUCT(($F$5:$F$304=F144)*(ROW($F$5:$F$304)&lt;ROW(F144)))+1,"")</f>
        <v/>
      </c>
      <c r="O144" s="140">
        <f>IF(F144&lt;&gt;"",TEXT(F144,"yyyymmdd")&amp;"-"&amp;N144,"")</f>
        <v/>
      </c>
    </row>
    <row r="145" ht="15" customHeight="1" s="82">
      <c r="A145" s="83" t="n"/>
      <c r="B145" s="146">
        <f>IF(C145="","","POL-"&amp;TEXT(ROW()-4,"0000"))</f>
        <v/>
      </c>
      <c r="C145" s="146" t="n"/>
      <c r="D145" s="146" t="n"/>
      <c r="E145" s="146" t="n"/>
      <c r="F145" s="147" t="n"/>
      <c r="G145" s="146" t="n"/>
      <c r="H145" s="139">
        <f>IF(OR(G145="Renewed",G145=""),0,IF(TODAY()&gt;F145,TODAY()-F145,0))</f>
        <v/>
      </c>
      <c r="I145" s="146" t="n"/>
      <c r="J145" s="146" t="n"/>
      <c r="K145" s="83" t="n"/>
      <c r="L145" s="140">
        <f>IF(AND(G145&lt;&gt;"Renewed",F145&lt;&gt;"",F145&gt;=TODAY()),SUMPRODUCT(($G$5:$G$304&lt;&gt;"Renewed")*($F$5:$F$304&lt;&gt;"")*($F$5:$F$304&gt;=TODAY())*($F$5:$F$304&lt;F145))+SUMPRODUCT(($G$5:$G$304&lt;&gt;"Renewed")*($F$5:$F$304=F145)*(ROW($F$5:$F$304)&lt;ROW(F145)))+1,"")</f>
        <v/>
      </c>
      <c r="M145" s="140">
        <f>IF(H145&gt;0,SUMPRODUCT(($H$5:$H$304&gt;H145))+SUMPRODUCT(($H$5:$H$304=H145)*(ROW($H$5:$H$304)&lt;ROW(H145)))+1,"")</f>
        <v/>
      </c>
      <c r="N145" s="140">
        <f>IF(F145&lt;&gt;"",SUMPRODUCT(($F$5:$F$304=F145)*(ROW($F$5:$F$304)&lt;ROW(F145)))+1,"")</f>
        <v/>
      </c>
      <c r="O145" s="140">
        <f>IF(F145&lt;&gt;"",TEXT(F145,"yyyymmdd")&amp;"-"&amp;N145,"")</f>
        <v/>
      </c>
    </row>
    <row r="146" ht="15" customHeight="1" s="82">
      <c r="A146" s="83" t="n"/>
      <c r="B146" s="144">
        <f>IF(C146="","","POL-"&amp;TEXT(ROW()-4,"0000"))</f>
        <v/>
      </c>
      <c r="C146" s="144" t="n"/>
      <c r="D146" s="144" t="n"/>
      <c r="E146" s="144" t="n"/>
      <c r="F146" s="145" t="n"/>
      <c r="G146" s="144" t="n"/>
      <c r="H146" s="143">
        <f>IF(OR(G146="Renewed",G146=""),0,IF(TODAY()&gt;F146,TODAY()-F146,0))</f>
        <v/>
      </c>
      <c r="I146" s="144" t="n"/>
      <c r="J146" s="144" t="n"/>
      <c r="K146" s="83" t="n"/>
      <c r="L146" s="140">
        <f>IF(AND(G146&lt;&gt;"Renewed",F146&lt;&gt;"",F146&gt;=TODAY()),SUMPRODUCT(($G$5:$G$304&lt;&gt;"Renewed")*($F$5:$F$304&lt;&gt;"")*($F$5:$F$304&gt;=TODAY())*($F$5:$F$304&lt;F146))+SUMPRODUCT(($G$5:$G$304&lt;&gt;"Renewed")*($F$5:$F$304=F146)*(ROW($F$5:$F$304)&lt;ROW(F146)))+1,"")</f>
        <v/>
      </c>
      <c r="M146" s="140">
        <f>IF(H146&gt;0,SUMPRODUCT(($H$5:$H$304&gt;H146))+SUMPRODUCT(($H$5:$H$304=H146)*(ROW($H$5:$H$304)&lt;ROW(H146)))+1,"")</f>
        <v/>
      </c>
      <c r="N146" s="140">
        <f>IF(F146&lt;&gt;"",SUMPRODUCT(($F$5:$F$304=F146)*(ROW($F$5:$F$304)&lt;ROW(F146)))+1,"")</f>
        <v/>
      </c>
      <c r="O146" s="140">
        <f>IF(F146&lt;&gt;"",TEXT(F146,"yyyymmdd")&amp;"-"&amp;N146,"")</f>
        <v/>
      </c>
    </row>
    <row r="147" ht="15" customHeight="1" s="82">
      <c r="A147" s="83" t="n"/>
      <c r="B147" s="146">
        <f>IF(C147="","","POL-"&amp;TEXT(ROW()-4,"0000"))</f>
        <v/>
      </c>
      <c r="C147" s="146" t="n"/>
      <c r="D147" s="146" t="n"/>
      <c r="E147" s="146" t="n"/>
      <c r="F147" s="147" t="n"/>
      <c r="G147" s="146" t="n"/>
      <c r="H147" s="139">
        <f>IF(OR(G147="Renewed",G147=""),0,IF(TODAY()&gt;F147,TODAY()-F147,0))</f>
        <v/>
      </c>
      <c r="I147" s="146" t="n"/>
      <c r="J147" s="146" t="n"/>
      <c r="K147" s="83" t="n"/>
      <c r="L147" s="140">
        <f>IF(AND(G147&lt;&gt;"Renewed",F147&lt;&gt;"",F147&gt;=TODAY()),SUMPRODUCT(($G$5:$G$304&lt;&gt;"Renewed")*($F$5:$F$304&lt;&gt;"")*($F$5:$F$304&gt;=TODAY())*($F$5:$F$304&lt;F147))+SUMPRODUCT(($G$5:$G$304&lt;&gt;"Renewed")*($F$5:$F$304=F147)*(ROW($F$5:$F$304)&lt;ROW(F147)))+1,"")</f>
        <v/>
      </c>
      <c r="M147" s="140">
        <f>IF(H147&gt;0,SUMPRODUCT(($H$5:$H$304&gt;H147))+SUMPRODUCT(($H$5:$H$304=H147)*(ROW($H$5:$H$304)&lt;ROW(H147)))+1,"")</f>
        <v/>
      </c>
      <c r="N147" s="140">
        <f>IF(F147&lt;&gt;"",SUMPRODUCT(($F$5:$F$304=F147)*(ROW($F$5:$F$304)&lt;ROW(F147)))+1,"")</f>
        <v/>
      </c>
      <c r="O147" s="140">
        <f>IF(F147&lt;&gt;"",TEXT(F147,"yyyymmdd")&amp;"-"&amp;N147,"")</f>
        <v/>
      </c>
    </row>
    <row r="148" ht="15" customHeight="1" s="82">
      <c r="A148" s="83" t="n"/>
      <c r="B148" s="144">
        <f>IF(C148="","","POL-"&amp;TEXT(ROW()-4,"0000"))</f>
        <v/>
      </c>
      <c r="C148" s="144" t="n"/>
      <c r="D148" s="144" t="n"/>
      <c r="E148" s="144" t="n"/>
      <c r="F148" s="145" t="n"/>
      <c r="G148" s="144" t="n"/>
      <c r="H148" s="143">
        <f>IF(OR(G148="Renewed",G148=""),0,IF(TODAY()&gt;F148,TODAY()-F148,0))</f>
        <v/>
      </c>
      <c r="I148" s="144" t="n"/>
      <c r="J148" s="144" t="n"/>
      <c r="K148" s="83" t="n"/>
      <c r="L148" s="140">
        <f>IF(AND(G148&lt;&gt;"Renewed",F148&lt;&gt;"",F148&gt;=TODAY()),SUMPRODUCT(($G$5:$G$304&lt;&gt;"Renewed")*($F$5:$F$304&lt;&gt;"")*($F$5:$F$304&gt;=TODAY())*($F$5:$F$304&lt;F148))+SUMPRODUCT(($G$5:$G$304&lt;&gt;"Renewed")*($F$5:$F$304=F148)*(ROW($F$5:$F$304)&lt;ROW(F148)))+1,"")</f>
        <v/>
      </c>
      <c r="M148" s="140">
        <f>IF(H148&gt;0,SUMPRODUCT(($H$5:$H$304&gt;H148))+SUMPRODUCT(($H$5:$H$304=H148)*(ROW($H$5:$H$304)&lt;ROW(H148)))+1,"")</f>
        <v/>
      </c>
      <c r="N148" s="140">
        <f>IF(F148&lt;&gt;"",SUMPRODUCT(($F$5:$F$304=F148)*(ROW($F$5:$F$304)&lt;ROW(F148)))+1,"")</f>
        <v/>
      </c>
      <c r="O148" s="140">
        <f>IF(F148&lt;&gt;"",TEXT(F148,"yyyymmdd")&amp;"-"&amp;N148,"")</f>
        <v/>
      </c>
    </row>
    <row r="149" ht="15" customHeight="1" s="82">
      <c r="A149" s="83" t="n"/>
      <c r="B149" s="146">
        <f>IF(C149="","","POL-"&amp;TEXT(ROW()-4,"0000"))</f>
        <v/>
      </c>
      <c r="C149" s="146" t="n"/>
      <c r="D149" s="146" t="n"/>
      <c r="E149" s="146" t="n"/>
      <c r="F149" s="147" t="n"/>
      <c r="G149" s="146" t="n"/>
      <c r="H149" s="139">
        <f>IF(OR(G149="Renewed",G149=""),0,IF(TODAY()&gt;F149,TODAY()-F149,0))</f>
        <v/>
      </c>
      <c r="I149" s="146" t="n"/>
      <c r="J149" s="146" t="n"/>
      <c r="K149" s="83" t="n"/>
      <c r="L149" s="140">
        <f>IF(AND(G149&lt;&gt;"Renewed",F149&lt;&gt;"",F149&gt;=TODAY()),SUMPRODUCT(($G$5:$G$304&lt;&gt;"Renewed")*($F$5:$F$304&lt;&gt;"")*($F$5:$F$304&gt;=TODAY())*($F$5:$F$304&lt;F149))+SUMPRODUCT(($G$5:$G$304&lt;&gt;"Renewed")*($F$5:$F$304=F149)*(ROW($F$5:$F$304)&lt;ROW(F149)))+1,"")</f>
        <v/>
      </c>
      <c r="M149" s="140">
        <f>IF(H149&gt;0,SUMPRODUCT(($H$5:$H$304&gt;H149))+SUMPRODUCT(($H$5:$H$304=H149)*(ROW($H$5:$H$304)&lt;ROW(H149)))+1,"")</f>
        <v/>
      </c>
      <c r="N149" s="140">
        <f>IF(F149&lt;&gt;"",SUMPRODUCT(($F$5:$F$304=F149)*(ROW($F$5:$F$304)&lt;ROW(F149)))+1,"")</f>
        <v/>
      </c>
      <c r="O149" s="140">
        <f>IF(F149&lt;&gt;"",TEXT(F149,"yyyymmdd")&amp;"-"&amp;N149,"")</f>
        <v/>
      </c>
    </row>
    <row r="150" ht="15" customHeight="1" s="82">
      <c r="A150" s="83" t="n"/>
      <c r="B150" s="144">
        <f>IF(C150="","","POL-"&amp;TEXT(ROW()-4,"0000"))</f>
        <v/>
      </c>
      <c r="C150" s="144" t="n"/>
      <c r="D150" s="144" t="n"/>
      <c r="E150" s="144" t="n"/>
      <c r="F150" s="145" t="n"/>
      <c r="G150" s="144" t="n"/>
      <c r="H150" s="143">
        <f>IF(OR(G150="Renewed",G150=""),0,IF(TODAY()&gt;F150,TODAY()-F150,0))</f>
        <v/>
      </c>
      <c r="I150" s="144" t="n"/>
      <c r="J150" s="144" t="n"/>
      <c r="K150" s="83" t="n"/>
      <c r="L150" s="140">
        <f>IF(AND(G150&lt;&gt;"Renewed",F150&lt;&gt;"",F150&gt;=TODAY()),SUMPRODUCT(($G$5:$G$304&lt;&gt;"Renewed")*($F$5:$F$304&lt;&gt;"")*($F$5:$F$304&gt;=TODAY())*($F$5:$F$304&lt;F150))+SUMPRODUCT(($G$5:$G$304&lt;&gt;"Renewed")*($F$5:$F$304=F150)*(ROW($F$5:$F$304)&lt;ROW(F150)))+1,"")</f>
        <v/>
      </c>
      <c r="M150" s="140">
        <f>IF(H150&gt;0,SUMPRODUCT(($H$5:$H$304&gt;H150))+SUMPRODUCT(($H$5:$H$304=H150)*(ROW($H$5:$H$304)&lt;ROW(H150)))+1,"")</f>
        <v/>
      </c>
      <c r="N150" s="140">
        <f>IF(F150&lt;&gt;"",SUMPRODUCT(($F$5:$F$304=F150)*(ROW($F$5:$F$304)&lt;ROW(F150)))+1,"")</f>
        <v/>
      </c>
      <c r="O150" s="140">
        <f>IF(F150&lt;&gt;"",TEXT(F150,"yyyymmdd")&amp;"-"&amp;N150,"")</f>
        <v/>
      </c>
    </row>
    <row r="151" ht="15" customHeight="1" s="82">
      <c r="A151" s="83" t="n"/>
      <c r="B151" s="146">
        <f>IF(C151="","","POL-"&amp;TEXT(ROW()-4,"0000"))</f>
        <v/>
      </c>
      <c r="C151" s="146" t="n"/>
      <c r="D151" s="146" t="n"/>
      <c r="E151" s="146" t="n"/>
      <c r="F151" s="147" t="n"/>
      <c r="G151" s="146" t="n"/>
      <c r="H151" s="139">
        <f>IF(OR(G151="Renewed",G151=""),0,IF(TODAY()&gt;F151,TODAY()-F151,0))</f>
        <v/>
      </c>
      <c r="I151" s="146" t="n"/>
      <c r="J151" s="146" t="n"/>
      <c r="K151" s="83" t="n"/>
      <c r="L151" s="140">
        <f>IF(AND(G151&lt;&gt;"Renewed",F151&lt;&gt;"",F151&gt;=TODAY()),SUMPRODUCT(($G$5:$G$304&lt;&gt;"Renewed")*($F$5:$F$304&lt;&gt;"")*($F$5:$F$304&gt;=TODAY())*($F$5:$F$304&lt;F151))+SUMPRODUCT(($G$5:$G$304&lt;&gt;"Renewed")*($F$5:$F$304=F151)*(ROW($F$5:$F$304)&lt;ROW(F151)))+1,"")</f>
        <v/>
      </c>
      <c r="M151" s="140">
        <f>IF(H151&gt;0,SUMPRODUCT(($H$5:$H$304&gt;H151))+SUMPRODUCT(($H$5:$H$304=H151)*(ROW($H$5:$H$304)&lt;ROW(H151)))+1,"")</f>
        <v/>
      </c>
      <c r="N151" s="140">
        <f>IF(F151&lt;&gt;"",SUMPRODUCT(($F$5:$F$304=F151)*(ROW($F$5:$F$304)&lt;ROW(F151)))+1,"")</f>
        <v/>
      </c>
      <c r="O151" s="140">
        <f>IF(F151&lt;&gt;"",TEXT(F151,"yyyymmdd")&amp;"-"&amp;N151,"")</f>
        <v/>
      </c>
    </row>
    <row r="152" ht="15" customHeight="1" s="82">
      <c r="A152" s="83" t="n"/>
      <c r="B152" s="144">
        <f>IF(C152="","","POL-"&amp;TEXT(ROW()-4,"0000"))</f>
        <v/>
      </c>
      <c r="C152" s="144" t="n"/>
      <c r="D152" s="144" t="n"/>
      <c r="E152" s="144" t="n"/>
      <c r="F152" s="145" t="n"/>
      <c r="G152" s="144" t="n"/>
      <c r="H152" s="143">
        <f>IF(OR(G152="Renewed",G152=""),0,IF(TODAY()&gt;F152,TODAY()-F152,0))</f>
        <v/>
      </c>
      <c r="I152" s="144" t="n"/>
      <c r="J152" s="144" t="n"/>
      <c r="K152" s="83" t="n"/>
      <c r="L152" s="140">
        <f>IF(AND(G152&lt;&gt;"Renewed",F152&lt;&gt;"",F152&gt;=TODAY()),SUMPRODUCT(($G$5:$G$304&lt;&gt;"Renewed")*($F$5:$F$304&lt;&gt;"")*($F$5:$F$304&gt;=TODAY())*($F$5:$F$304&lt;F152))+SUMPRODUCT(($G$5:$G$304&lt;&gt;"Renewed")*($F$5:$F$304=F152)*(ROW($F$5:$F$304)&lt;ROW(F152)))+1,"")</f>
        <v/>
      </c>
      <c r="M152" s="140">
        <f>IF(H152&gt;0,SUMPRODUCT(($H$5:$H$304&gt;H152))+SUMPRODUCT(($H$5:$H$304=H152)*(ROW($H$5:$H$304)&lt;ROW(H152)))+1,"")</f>
        <v/>
      </c>
      <c r="N152" s="140">
        <f>IF(F152&lt;&gt;"",SUMPRODUCT(($F$5:$F$304=F152)*(ROW($F$5:$F$304)&lt;ROW(F152)))+1,"")</f>
        <v/>
      </c>
      <c r="O152" s="140">
        <f>IF(F152&lt;&gt;"",TEXT(F152,"yyyymmdd")&amp;"-"&amp;N152,"")</f>
        <v/>
      </c>
    </row>
    <row r="153" ht="15" customHeight="1" s="82">
      <c r="A153" s="83" t="n"/>
      <c r="B153" s="146">
        <f>IF(C153="","","POL-"&amp;TEXT(ROW()-4,"0000"))</f>
        <v/>
      </c>
      <c r="C153" s="146" t="n"/>
      <c r="D153" s="146" t="n"/>
      <c r="E153" s="146" t="n"/>
      <c r="F153" s="147" t="n"/>
      <c r="G153" s="146" t="n"/>
      <c r="H153" s="139">
        <f>IF(OR(G153="Renewed",G153=""),0,IF(TODAY()&gt;F153,TODAY()-F153,0))</f>
        <v/>
      </c>
      <c r="I153" s="146" t="n"/>
      <c r="J153" s="146" t="n"/>
      <c r="K153" s="83" t="n"/>
      <c r="L153" s="140">
        <f>IF(AND(G153&lt;&gt;"Renewed",F153&lt;&gt;"",F153&gt;=TODAY()),SUMPRODUCT(($G$5:$G$304&lt;&gt;"Renewed")*($F$5:$F$304&lt;&gt;"")*($F$5:$F$304&gt;=TODAY())*($F$5:$F$304&lt;F153))+SUMPRODUCT(($G$5:$G$304&lt;&gt;"Renewed")*($F$5:$F$304=F153)*(ROW($F$5:$F$304)&lt;ROW(F153)))+1,"")</f>
        <v/>
      </c>
      <c r="M153" s="140">
        <f>IF(H153&gt;0,SUMPRODUCT(($H$5:$H$304&gt;H153))+SUMPRODUCT(($H$5:$H$304=H153)*(ROW($H$5:$H$304)&lt;ROW(H153)))+1,"")</f>
        <v/>
      </c>
      <c r="N153" s="140">
        <f>IF(F153&lt;&gt;"",SUMPRODUCT(($F$5:$F$304=F153)*(ROW($F$5:$F$304)&lt;ROW(F153)))+1,"")</f>
        <v/>
      </c>
      <c r="O153" s="140">
        <f>IF(F153&lt;&gt;"",TEXT(F153,"yyyymmdd")&amp;"-"&amp;N153,"")</f>
        <v/>
      </c>
    </row>
    <row r="154" ht="15" customHeight="1" s="82">
      <c r="A154" s="83" t="n"/>
      <c r="B154" s="144">
        <f>IF(C154="","","POL-"&amp;TEXT(ROW()-4,"0000"))</f>
        <v/>
      </c>
      <c r="C154" s="144" t="n"/>
      <c r="D154" s="144" t="n"/>
      <c r="E154" s="144" t="n"/>
      <c r="F154" s="145" t="n"/>
      <c r="G154" s="144" t="n"/>
      <c r="H154" s="143">
        <f>IF(OR(G154="Renewed",G154=""),0,IF(TODAY()&gt;F154,TODAY()-F154,0))</f>
        <v/>
      </c>
      <c r="I154" s="144" t="n"/>
      <c r="J154" s="144" t="n"/>
      <c r="K154" s="83" t="n"/>
      <c r="L154" s="140">
        <f>IF(AND(G154&lt;&gt;"Renewed",F154&lt;&gt;"",F154&gt;=TODAY()),SUMPRODUCT(($G$5:$G$304&lt;&gt;"Renewed")*($F$5:$F$304&lt;&gt;"")*($F$5:$F$304&gt;=TODAY())*($F$5:$F$304&lt;F154))+SUMPRODUCT(($G$5:$G$304&lt;&gt;"Renewed")*($F$5:$F$304=F154)*(ROW($F$5:$F$304)&lt;ROW(F154)))+1,"")</f>
        <v/>
      </c>
      <c r="M154" s="140">
        <f>IF(H154&gt;0,SUMPRODUCT(($H$5:$H$304&gt;H154))+SUMPRODUCT(($H$5:$H$304=H154)*(ROW($H$5:$H$304)&lt;ROW(H154)))+1,"")</f>
        <v/>
      </c>
      <c r="N154" s="140">
        <f>IF(F154&lt;&gt;"",SUMPRODUCT(($F$5:$F$304=F154)*(ROW($F$5:$F$304)&lt;ROW(F154)))+1,"")</f>
        <v/>
      </c>
      <c r="O154" s="140">
        <f>IF(F154&lt;&gt;"",TEXT(F154,"yyyymmdd")&amp;"-"&amp;N154,"")</f>
        <v/>
      </c>
    </row>
    <row r="155" ht="15" customHeight="1" s="82">
      <c r="A155" s="83" t="n"/>
      <c r="B155" s="146">
        <f>IF(C155="","","POL-"&amp;TEXT(ROW()-4,"0000"))</f>
        <v/>
      </c>
      <c r="C155" s="146" t="n"/>
      <c r="D155" s="146" t="n"/>
      <c r="E155" s="146" t="n"/>
      <c r="F155" s="147" t="n"/>
      <c r="G155" s="146" t="n"/>
      <c r="H155" s="139">
        <f>IF(OR(G155="Renewed",G155=""),0,IF(TODAY()&gt;F155,TODAY()-F155,0))</f>
        <v/>
      </c>
      <c r="I155" s="146" t="n"/>
      <c r="J155" s="146" t="n"/>
      <c r="K155" s="83" t="n"/>
      <c r="L155" s="140">
        <f>IF(AND(G155&lt;&gt;"Renewed",F155&lt;&gt;"",F155&gt;=TODAY()),SUMPRODUCT(($G$5:$G$304&lt;&gt;"Renewed")*($F$5:$F$304&lt;&gt;"")*($F$5:$F$304&gt;=TODAY())*($F$5:$F$304&lt;F155))+SUMPRODUCT(($G$5:$G$304&lt;&gt;"Renewed")*($F$5:$F$304=F155)*(ROW($F$5:$F$304)&lt;ROW(F155)))+1,"")</f>
        <v/>
      </c>
      <c r="M155" s="140">
        <f>IF(H155&gt;0,SUMPRODUCT(($H$5:$H$304&gt;H155))+SUMPRODUCT(($H$5:$H$304=H155)*(ROW($H$5:$H$304)&lt;ROW(H155)))+1,"")</f>
        <v/>
      </c>
      <c r="N155" s="140">
        <f>IF(F155&lt;&gt;"",SUMPRODUCT(($F$5:$F$304=F155)*(ROW($F$5:$F$304)&lt;ROW(F155)))+1,"")</f>
        <v/>
      </c>
      <c r="O155" s="140">
        <f>IF(F155&lt;&gt;"",TEXT(F155,"yyyymmdd")&amp;"-"&amp;N155,"")</f>
        <v/>
      </c>
    </row>
    <row r="156" ht="15" customHeight="1" s="82">
      <c r="A156" s="83" t="n"/>
      <c r="B156" s="144">
        <f>IF(C156="","","POL-"&amp;TEXT(ROW()-4,"0000"))</f>
        <v/>
      </c>
      <c r="C156" s="144" t="n"/>
      <c r="D156" s="144" t="n"/>
      <c r="E156" s="144" t="n"/>
      <c r="F156" s="145" t="n"/>
      <c r="G156" s="144" t="n"/>
      <c r="H156" s="143">
        <f>IF(OR(G156="Renewed",G156=""),0,IF(TODAY()&gt;F156,TODAY()-F156,0))</f>
        <v/>
      </c>
      <c r="I156" s="144" t="n"/>
      <c r="J156" s="144" t="n"/>
      <c r="K156" s="83" t="n"/>
      <c r="L156" s="140">
        <f>IF(AND(G156&lt;&gt;"Renewed",F156&lt;&gt;"",F156&gt;=TODAY()),SUMPRODUCT(($G$5:$G$304&lt;&gt;"Renewed")*($F$5:$F$304&lt;&gt;"")*($F$5:$F$304&gt;=TODAY())*($F$5:$F$304&lt;F156))+SUMPRODUCT(($G$5:$G$304&lt;&gt;"Renewed")*($F$5:$F$304=F156)*(ROW($F$5:$F$304)&lt;ROW(F156)))+1,"")</f>
        <v/>
      </c>
      <c r="M156" s="140">
        <f>IF(H156&gt;0,SUMPRODUCT(($H$5:$H$304&gt;H156))+SUMPRODUCT(($H$5:$H$304=H156)*(ROW($H$5:$H$304)&lt;ROW(H156)))+1,"")</f>
        <v/>
      </c>
      <c r="N156" s="140">
        <f>IF(F156&lt;&gt;"",SUMPRODUCT(($F$5:$F$304=F156)*(ROW($F$5:$F$304)&lt;ROW(F156)))+1,"")</f>
        <v/>
      </c>
      <c r="O156" s="140">
        <f>IF(F156&lt;&gt;"",TEXT(F156,"yyyymmdd")&amp;"-"&amp;N156,"")</f>
        <v/>
      </c>
    </row>
    <row r="157" ht="15" customHeight="1" s="82">
      <c r="A157" s="83" t="n"/>
      <c r="B157" s="146">
        <f>IF(C157="","","POL-"&amp;TEXT(ROW()-4,"0000"))</f>
        <v/>
      </c>
      <c r="C157" s="146" t="n"/>
      <c r="D157" s="146" t="n"/>
      <c r="E157" s="146" t="n"/>
      <c r="F157" s="147" t="n"/>
      <c r="G157" s="146" t="n"/>
      <c r="H157" s="139">
        <f>IF(OR(G157="Renewed",G157=""),0,IF(TODAY()&gt;F157,TODAY()-F157,0))</f>
        <v/>
      </c>
      <c r="I157" s="146" t="n"/>
      <c r="J157" s="146" t="n"/>
      <c r="K157" s="83" t="n"/>
      <c r="L157" s="140">
        <f>IF(AND(G157&lt;&gt;"Renewed",F157&lt;&gt;"",F157&gt;=TODAY()),SUMPRODUCT(($G$5:$G$304&lt;&gt;"Renewed")*($F$5:$F$304&lt;&gt;"")*($F$5:$F$304&gt;=TODAY())*($F$5:$F$304&lt;F157))+SUMPRODUCT(($G$5:$G$304&lt;&gt;"Renewed")*($F$5:$F$304=F157)*(ROW($F$5:$F$304)&lt;ROW(F157)))+1,"")</f>
        <v/>
      </c>
      <c r="M157" s="140">
        <f>IF(H157&gt;0,SUMPRODUCT(($H$5:$H$304&gt;H157))+SUMPRODUCT(($H$5:$H$304=H157)*(ROW($H$5:$H$304)&lt;ROW(H157)))+1,"")</f>
        <v/>
      </c>
      <c r="N157" s="140">
        <f>IF(F157&lt;&gt;"",SUMPRODUCT(($F$5:$F$304=F157)*(ROW($F$5:$F$304)&lt;ROW(F157)))+1,"")</f>
        <v/>
      </c>
      <c r="O157" s="140">
        <f>IF(F157&lt;&gt;"",TEXT(F157,"yyyymmdd")&amp;"-"&amp;N157,"")</f>
        <v/>
      </c>
    </row>
    <row r="158" ht="15" customHeight="1" s="82">
      <c r="A158" s="83" t="n"/>
      <c r="B158" s="144">
        <f>IF(C158="","","POL-"&amp;TEXT(ROW()-4,"0000"))</f>
        <v/>
      </c>
      <c r="C158" s="144" t="n"/>
      <c r="D158" s="144" t="n"/>
      <c r="E158" s="144" t="n"/>
      <c r="F158" s="145" t="n"/>
      <c r="G158" s="144" t="n"/>
      <c r="H158" s="143">
        <f>IF(OR(G158="Renewed",G158=""),0,IF(TODAY()&gt;F158,TODAY()-F158,0))</f>
        <v/>
      </c>
      <c r="I158" s="144" t="n"/>
      <c r="J158" s="144" t="n"/>
      <c r="K158" s="83" t="n"/>
      <c r="L158" s="140">
        <f>IF(AND(G158&lt;&gt;"Renewed",F158&lt;&gt;"",F158&gt;=TODAY()),SUMPRODUCT(($G$5:$G$304&lt;&gt;"Renewed")*($F$5:$F$304&lt;&gt;"")*($F$5:$F$304&gt;=TODAY())*($F$5:$F$304&lt;F158))+SUMPRODUCT(($G$5:$G$304&lt;&gt;"Renewed")*($F$5:$F$304=F158)*(ROW($F$5:$F$304)&lt;ROW(F158)))+1,"")</f>
        <v/>
      </c>
      <c r="M158" s="140">
        <f>IF(H158&gt;0,SUMPRODUCT(($H$5:$H$304&gt;H158))+SUMPRODUCT(($H$5:$H$304=H158)*(ROW($H$5:$H$304)&lt;ROW(H158)))+1,"")</f>
        <v/>
      </c>
      <c r="N158" s="140">
        <f>IF(F158&lt;&gt;"",SUMPRODUCT(($F$5:$F$304=F158)*(ROW($F$5:$F$304)&lt;ROW(F158)))+1,"")</f>
        <v/>
      </c>
      <c r="O158" s="140">
        <f>IF(F158&lt;&gt;"",TEXT(F158,"yyyymmdd")&amp;"-"&amp;N158,"")</f>
        <v/>
      </c>
    </row>
    <row r="159" ht="15" customHeight="1" s="82">
      <c r="A159" s="83" t="n"/>
      <c r="B159" s="146">
        <f>IF(C159="","","POL-"&amp;TEXT(ROW()-4,"0000"))</f>
        <v/>
      </c>
      <c r="C159" s="146" t="n"/>
      <c r="D159" s="146" t="n"/>
      <c r="E159" s="146" t="n"/>
      <c r="F159" s="147" t="n"/>
      <c r="G159" s="146" t="n"/>
      <c r="H159" s="139">
        <f>IF(OR(G159="Renewed",G159=""),0,IF(TODAY()&gt;F159,TODAY()-F159,0))</f>
        <v/>
      </c>
      <c r="I159" s="146" t="n"/>
      <c r="J159" s="146" t="n"/>
      <c r="K159" s="83" t="n"/>
      <c r="L159" s="140">
        <f>IF(AND(G159&lt;&gt;"Renewed",F159&lt;&gt;"",F159&gt;=TODAY()),SUMPRODUCT(($G$5:$G$304&lt;&gt;"Renewed")*($F$5:$F$304&lt;&gt;"")*($F$5:$F$304&gt;=TODAY())*($F$5:$F$304&lt;F159))+SUMPRODUCT(($G$5:$G$304&lt;&gt;"Renewed")*($F$5:$F$304=F159)*(ROW($F$5:$F$304)&lt;ROW(F159)))+1,"")</f>
        <v/>
      </c>
      <c r="M159" s="140">
        <f>IF(H159&gt;0,SUMPRODUCT(($H$5:$H$304&gt;H159))+SUMPRODUCT(($H$5:$H$304=H159)*(ROW($H$5:$H$304)&lt;ROW(H159)))+1,"")</f>
        <v/>
      </c>
      <c r="N159" s="140">
        <f>IF(F159&lt;&gt;"",SUMPRODUCT(($F$5:$F$304=F159)*(ROW($F$5:$F$304)&lt;ROW(F159)))+1,"")</f>
        <v/>
      </c>
      <c r="O159" s="140">
        <f>IF(F159&lt;&gt;"",TEXT(F159,"yyyymmdd")&amp;"-"&amp;N159,"")</f>
        <v/>
      </c>
    </row>
    <row r="160" ht="15" customHeight="1" s="82">
      <c r="A160" s="83" t="n"/>
      <c r="B160" s="144">
        <f>IF(C160="","","POL-"&amp;TEXT(ROW()-4,"0000"))</f>
        <v/>
      </c>
      <c r="C160" s="144" t="n"/>
      <c r="D160" s="144" t="n"/>
      <c r="E160" s="144" t="n"/>
      <c r="F160" s="145" t="n"/>
      <c r="G160" s="144" t="n"/>
      <c r="H160" s="143">
        <f>IF(OR(G160="Renewed",G160=""),0,IF(TODAY()&gt;F160,TODAY()-F160,0))</f>
        <v/>
      </c>
      <c r="I160" s="144" t="n"/>
      <c r="J160" s="144" t="n"/>
      <c r="K160" s="83" t="n"/>
      <c r="L160" s="140">
        <f>IF(AND(G160&lt;&gt;"Renewed",F160&lt;&gt;"",F160&gt;=TODAY()),SUMPRODUCT(($G$5:$G$304&lt;&gt;"Renewed")*($F$5:$F$304&lt;&gt;"")*($F$5:$F$304&gt;=TODAY())*($F$5:$F$304&lt;F160))+SUMPRODUCT(($G$5:$G$304&lt;&gt;"Renewed")*($F$5:$F$304=F160)*(ROW($F$5:$F$304)&lt;ROW(F160)))+1,"")</f>
        <v/>
      </c>
      <c r="M160" s="140">
        <f>IF(H160&gt;0,SUMPRODUCT(($H$5:$H$304&gt;H160))+SUMPRODUCT(($H$5:$H$304=H160)*(ROW($H$5:$H$304)&lt;ROW(H160)))+1,"")</f>
        <v/>
      </c>
      <c r="N160" s="140">
        <f>IF(F160&lt;&gt;"",SUMPRODUCT(($F$5:$F$304=F160)*(ROW($F$5:$F$304)&lt;ROW(F160)))+1,"")</f>
        <v/>
      </c>
      <c r="O160" s="140">
        <f>IF(F160&lt;&gt;"",TEXT(F160,"yyyymmdd")&amp;"-"&amp;N160,"")</f>
        <v/>
      </c>
    </row>
    <row r="161" ht="15" customHeight="1" s="82">
      <c r="A161" s="83" t="n"/>
      <c r="B161" s="146">
        <f>IF(C161="","","POL-"&amp;TEXT(ROW()-4,"0000"))</f>
        <v/>
      </c>
      <c r="C161" s="146" t="n"/>
      <c r="D161" s="146" t="n"/>
      <c r="E161" s="146" t="n"/>
      <c r="F161" s="147" t="n"/>
      <c r="G161" s="146" t="n"/>
      <c r="H161" s="139">
        <f>IF(OR(G161="Renewed",G161=""),0,IF(TODAY()&gt;F161,TODAY()-F161,0))</f>
        <v/>
      </c>
      <c r="I161" s="146" t="n"/>
      <c r="J161" s="146" t="n"/>
      <c r="K161" s="83" t="n"/>
      <c r="L161" s="140">
        <f>IF(AND(G161&lt;&gt;"Renewed",F161&lt;&gt;"",F161&gt;=TODAY()),SUMPRODUCT(($G$5:$G$304&lt;&gt;"Renewed")*($F$5:$F$304&lt;&gt;"")*($F$5:$F$304&gt;=TODAY())*($F$5:$F$304&lt;F161))+SUMPRODUCT(($G$5:$G$304&lt;&gt;"Renewed")*($F$5:$F$304=F161)*(ROW($F$5:$F$304)&lt;ROW(F161)))+1,"")</f>
        <v/>
      </c>
      <c r="M161" s="140">
        <f>IF(H161&gt;0,SUMPRODUCT(($H$5:$H$304&gt;H161))+SUMPRODUCT(($H$5:$H$304=H161)*(ROW($H$5:$H$304)&lt;ROW(H161)))+1,"")</f>
        <v/>
      </c>
      <c r="N161" s="140">
        <f>IF(F161&lt;&gt;"",SUMPRODUCT(($F$5:$F$304=F161)*(ROW($F$5:$F$304)&lt;ROW(F161)))+1,"")</f>
        <v/>
      </c>
      <c r="O161" s="140">
        <f>IF(F161&lt;&gt;"",TEXT(F161,"yyyymmdd")&amp;"-"&amp;N161,"")</f>
        <v/>
      </c>
    </row>
    <row r="162" ht="15" customHeight="1" s="82">
      <c r="A162" s="83" t="n"/>
      <c r="B162" s="144">
        <f>IF(C162="","","POL-"&amp;TEXT(ROW()-4,"0000"))</f>
        <v/>
      </c>
      <c r="C162" s="144" t="n"/>
      <c r="D162" s="144" t="n"/>
      <c r="E162" s="144" t="n"/>
      <c r="F162" s="145" t="n"/>
      <c r="G162" s="144" t="n"/>
      <c r="H162" s="143">
        <f>IF(OR(G162="Renewed",G162=""),0,IF(TODAY()&gt;F162,TODAY()-F162,0))</f>
        <v/>
      </c>
      <c r="I162" s="144" t="n"/>
      <c r="J162" s="144" t="n"/>
      <c r="K162" s="83" t="n"/>
      <c r="L162" s="140">
        <f>IF(AND(G162&lt;&gt;"Renewed",F162&lt;&gt;"",F162&gt;=TODAY()),SUMPRODUCT(($G$5:$G$304&lt;&gt;"Renewed")*($F$5:$F$304&lt;&gt;"")*($F$5:$F$304&gt;=TODAY())*($F$5:$F$304&lt;F162))+SUMPRODUCT(($G$5:$G$304&lt;&gt;"Renewed")*($F$5:$F$304=F162)*(ROW($F$5:$F$304)&lt;ROW(F162)))+1,"")</f>
        <v/>
      </c>
      <c r="M162" s="140">
        <f>IF(H162&gt;0,SUMPRODUCT(($H$5:$H$304&gt;H162))+SUMPRODUCT(($H$5:$H$304=H162)*(ROW($H$5:$H$304)&lt;ROW(H162)))+1,"")</f>
        <v/>
      </c>
      <c r="N162" s="140">
        <f>IF(F162&lt;&gt;"",SUMPRODUCT(($F$5:$F$304=F162)*(ROW($F$5:$F$304)&lt;ROW(F162)))+1,"")</f>
        <v/>
      </c>
      <c r="O162" s="140">
        <f>IF(F162&lt;&gt;"",TEXT(F162,"yyyymmdd")&amp;"-"&amp;N162,"")</f>
        <v/>
      </c>
    </row>
    <row r="163" ht="15" customHeight="1" s="82">
      <c r="A163" s="83" t="n"/>
      <c r="B163" s="146">
        <f>IF(C163="","","POL-"&amp;TEXT(ROW()-4,"0000"))</f>
        <v/>
      </c>
      <c r="C163" s="146" t="n"/>
      <c r="D163" s="146" t="n"/>
      <c r="E163" s="146" t="n"/>
      <c r="F163" s="147" t="n"/>
      <c r="G163" s="146" t="n"/>
      <c r="H163" s="139">
        <f>IF(OR(G163="Renewed",G163=""),0,IF(TODAY()&gt;F163,TODAY()-F163,0))</f>
        <v/>
      </c>
      <c r="I163" s="146" t="n"/>
      <c r="J163" s="146" t="n"/>
      <c r="K163" s="83" t="n"/>
      <c r="L163" s="140">
        <f>IF(AND(G163&lt;&gt;"Renewed",F163&lt;&gt;"",F163&gt;=TODAY()),SUMPRODUCT(($G$5:$G$304&lt;&gt;"Renewed")*($F$5:$F$304&lt;&gt;"")*($F$5:$F$304&gt;=TODAY())*($F$5:$F$304&lt;F163))+SUMPRODUCT(($G$5:$G$304&lt;&gt;"Renewed")*($F$5:$F$304=F163)*(ROW($F$5:$F$304)&lt;ROW(F163)))+1,"")</f>
        <v/>
      </c>
      <c r="M163" s="140">
        <f>IF(H163&gt;0,SUMPRODUCT(($H$5:$H$304&gt;H163))+SUMPRODUCT(($H$5:$H$304=H163)*(ROW($H$5:$H$304)&lt;ROW(H163)))+1,"")</f>
        <v/>
      </c>
      <c r="N163" s="140">
        <f>IF(F163&lt;&gt;"",SUMPRODUCT(($F$5:$F$304=F163)*(ROW($F$5:$F$304)&lt;ROW(F163)))+1,"")</f>
        <v/>
      </c>
      <c r="O163" s="140">
        <f>IF(F163&lt;&gt;"",TEXT(F163,"yyyymmdd")&amp;"-"&amp;N163,"")</f>
        <v/>
      </c>
    </row>
    <row r="164" ht="15" customHeight="1" s="82">
      <c r="A164" s="83" t="n"/>
      <c r="B164" s="144">
        <f>IF(C164="","","POL-"&amp;TEXT(ROW()-4,"0000"))</f>
        <v/>
      </c>
      <c r="C164" s="144" t="n"/>
      <c r="D164" s="144" t="n"/>
      <c r="E164" s="144" t="n"/>
      <c r="F164" s="145" t="n"/>
      <c r="G164" s="144" t="n"/>
      <c r="H164" s="143">
        <f>IF(OR(G164="Renewed",G164=""),0,IF(TODAY()&gt;F164,TODAY()-F164,0))</f>
        <v/>
      </c>
      <c r="I164" s="144" t="n"/>
      <c r="J164" s="144" t="n"/>
      <c r="K164" s="83" t="n"/>
      <c r="L164" s="140">
        <f>IF(AND(G164&lt;&gt;"Renewed",F164&lt;&gt;"",F164&gt;=TODAY()),SUMPRODUCT(($G$5:$G$304&lt;&gt;"Renewed")*($F$5:$F$304&lt;&gt;"")*($F$5:$F$304&gt;=TODAY())*($F$5:$F$304&lt;F164))+SUMPRODUCT(($G$5:$G$304&lt;&gt;"Renewed")*($F$5:$F$304=F164)*(ROW($F$5:$F$304)&lt;ROW(F164)))+1,"")</f>
        <v/>
      </c>
      <c r="M164" s="140">
        <f>IF(H164&gt;0,SUMPRODUCT(($H$5:$H$304&gt;H164))+SUMPRODUCT(($H$5:$H$304=H164)*(ROW($H$5:$H$304)&lt;ROW(H164)))+1,"")</f>
        <v/>
      </c>
      <c r="N164" s="140">
        <f>IF(F164&lt;&gt;"",SUMPRODUCT(($F$5:$F$304=F164)*(ROW($F$5:$F$304)&lt;ROW(F164)))+1,"")</f>
        <v/>
      </c>
      <c r="O164" s="140">
        <f>IF(F164&lt;&gt;"",TEXT(F164,"yyyymmdd")&amp;"-"&amp;N164,"")</f>
        <v/>
      </c>
    </row>
    <row r="165" ht="15" customHeight="1" s="82">
      <c r="A165" s="83" t="n"/>
      <c r="B165" s="146">
        <f>IF(C165="","","POL-"&amp;TEXT(ROW()-4,"0000"))</f>
        <v/>
      </c>
      <c r="C165" s="146" t="n"/>
      <c r="D165" s="146" t="n"/>
      <c r="E165" s="146" t="n"/>
      <c r="F165" s="147" t="n"/>
      <c r="G165" s="146" t="n"/>
      <c r="H165" s="139">
        <f>IF(OR(G165="Renewed",G165=""),0,IF(TODAY()&gt;F165,TODAY()-F165,0))</f>
        <v/>
      </c>
      <c r="I165" s="146" t="n"/>
      <c r="J165" s="146" t="n"/>
      <c r="K165" s="83" t="n"/>
      <c r="L165" s="140">
        <f>IF(AND(G165&lt;&gt;"Renewed",F165&lt;&gt;"",F165&gt;=TODAY()),SUMPRODUCT(($G$5:$G$304&lt;&gt;"Renewed")*($F$5:$F$304&lt;&gt;"")*($F$5:$F$304&gt;=TODAY())*($F$5:$F$304&lt;F165))+SUMPRODUCT(($G$5:$G$304&lt;&gt;"Renewed")*($F$5:$F$304=F165)*(ROW($F$5:$F$304)&lt;ROW(F165)))+1,"")</f>
        <v/>
      </c>
      <c r="M165" s="140">
        <f>IF(H165&gt;0,SUMPRODUCT(($H$5:$H$304&gt;H165))+SUMPRODUCT(($H$5:$H$304=H165)*(ROW($H$5:$H$304)&lt;ROW(H165)))+1,"")</f>
        <v/>
      </c>
      <c r="N165" s="140">
        <f>IF(F165&lt;&gt;"",SUMPRODUCT(($F$5:$F$304=F165)*(ROW($F$5:$F$304)&lt;ROW(F165)))+1,"")</f>
        <v/>
      </c>
      <c r="O165" s="140">
        <f>IF(F165&lt;&gt;"",TEXT(F165,"yyyymmdd")&amp;"-"&amp;N165,"")</f>
        <v/>
      </c>
    </row>
    <row r="166" ht="15" customHeight="1" s="82">
      <c r="A166" s="83" t="n"/>
      <c r="B166" s="144">
        <f>IF(C166="","","POL-"&amp;TEXT(ROW()-4,"0000"))</f>
        <v/>
      </c>
      <c r="C166" s="144" t="n"/>
      <c r="D166" s="144" t="n"/>
      <c r="E166" s="144" t="n"/>
      <c r="F166" s="145" t="n"/>
      <c r="G166" s="144" t="n"/>
      <c r="H166" s="143">
        <f>IF(OR(G166="Renewed",G166=""),0,IF(TODAY()&gt;F166,TODAY()-F166,0))</f>
        <v/>
      </c>
      <c r="I166" s="144" t="n"/>
      <c r="J166" s="144" t="n"/>
      <c r="K166" s="83" t="n"/>
      <c r="L166" s="140">
        <f>IF(AND(G166&lt;&gt;"Renewed",F166&lt;&gt;"",F166&gt;=TODAY()),SUMPRODUCT(($G$5:$G$304&lt;&gt;"Renewed")*($F$5:$F$304&lt;&gt;"")*($F$5:$F$304&gt;=TODAY())*($F$5:$F$304&lt;F166))+SUMPRODUCT(($G$5:$G$304&lt;&gt;"Renewed")*($F$5:$F$304=F166)*(ROW($F$5:$F$304)&lt;ROW(F166)))+1,"")</f>
        <v/>
      </c>
      <c r="M166" s="140">
        <f>IF(H166&gt;0,SUMPRODUCT(($H$5:$H$304&gt;H166))+SUMPRODUCT(($H$5:$H$304=H166)*(ROW($H$5:$H$304)&lt;ROW(H166)))+1,"")</f>
        <v/>
      </c>
      <c r="N166" s="140">
        <f>IF(F166&lt;&gt;"",SUMPRODUCT(($F$5:$F$304=F166)*(ROW($F$5:$F$304)&lt;ROW(F166)))+1,"")</f>
        <v/>
      </c>
      <c r="O166" s="140">
        <f>IF(F166&lt;&gt;"",TEXT(F166,"yyyymmdd")&amp;"-"&amp;N166,"")</f>
        <v/>
      </c>
    </row>
    <row r="167" ht="15" customHeight="1" s="82">
      <c r="A167" s="83" t="n"/>
      <c r="B167" s="146">
        <f>IF(C167="","","POL-"&amp;TEXT(ROW()-4,"0000"))</f>
        <v/>
      </c>
      <c r="C167" s="146" t="n"/>
      <c r="D167" s="146" t="n"/>
      <c r="E167" s="146" t="n"/>
      <c r="F167" s="147" t="n"/>
      <c r="G167" s="146" t="n"/>
      <c r="H167" s="139">
        <f>IF(OR(G167="Renewed",G167=""),0,IF(TODAY()&gt;F167,TODAY()-F167,0))</f>
        <v/>
      </c>
      <c r="I167" s="146" t="n"/>
      <c r="J167" s="146" t="n"/>
      <c r="K167" s="83" t="n"/>
      <c r="L167" s="140">
        <f>IF(AND(G167&lt;&gt;"Renewed",F167&lt;&gt;"",F167&gt;=TODAY()),SUMPRODUCT(($G$5:$G$304&lt;&gt;"Renewed")*($F$5:$F$304&lt;&gt;"")*($F$5:$F$304&gt;=TODAY())*($F$5:$F$304&lt;F167))+SUMPRODUCT(($G$5:$G$304&lt;&gt;"Renewed")*($F$5:$F$304=F167)*(ROW($F$5:$F$304)&lt;ROW(F167)))+1,"")</f>
        <v/>
      </c>
      <c r="M167" s="140">
        <f>IF(H167&gt;0,SUMPRODUCT(($H$5:$H$304&gt;H167))+SUMPRODUCT(($H$5:$H$304=H167)*(ROW($H$5:$H$304)&lt;ROW(H167)))+1,"")</f>
        <v/>
      </c>
      <c r="N167" s="140">
        <f>IF(F167&lt;&gt;"",SUMPRODUCT(($F$5:$F$304=F167)*(ROW($F$5:$F$304)&lt;ROW(F167)))+1,"")</f>
        <v/>
      </c>
      <c r="O167" s="140">
        <f>IF(F167&lt;&gt;"",TEXT(F167,"yyyymmdd")&amp;"-"&amp;N167,"")</f>
        <v/>
      </c>
    </row>
    <row r="168" ht="15" customHeight="1" s="82">
      <c r="A168" s="83" t="n"/>
      <c r="B168" s="144">
        <f>IF(C168="","","POL-"&amp;TEXT(ROW()-4,"0000"))</f>
        <v/>
      </c>
      <c r="C168" s="144" t="n"/>
      <c r="D168" s="144" t="n"/>
      <c r="E168" s="144" t="n"/>
      <c r="F168" s="145" t="n"/>
      <c r="G168" s="144" t="n"/>
      <c r="H168" s="143">
        <f>IF(OR(G168="Renewed",G168=""),0,IF(TODAY()&gt;F168,TODAY()-F168,0))</f>
        <v/>
      </c>
      <c r="I168" s="144" t="n"/>
      <c r="J168" s="144" t="n"/>
      <c r="K168" s="83" t="n"/>
      <c r="L168" s="140">
        <f>IF(AND(G168&lt;&gt;"Renewed",F168&lt;&gt;"",F168&gt;=TODAY()),SUMPRODUCT(($G$5:$G$304&lt;&gt;"Renewed")*($F$5:$F$304&lt;&gt;"")*($F$5:$F$304&gt;=TODAY())*($F$5:$F$304&lt;F168))+SUMPRODUCT(($G$5:$G$304&lt;&gt;"Renewed")*($F$5:$F$304=F168)*(ROW($F$5:$F$304)&lt;ROW(F168)))+1,"")</f>
        <v/>
      </c>
      <c r="M168" s="140">
        <f>IF(H168&gt;0,SUMPRODUCT(($H$5:$H$304&gt;H168))+SUMPRODUCT(($H$5:$H$304=H168)*(ROW($H$5:$H$304)&lt;ROW(H168)))+1,"")</f>
        <v/>
      </c>
      <c r="N168" s="140">
        <f>IF(F168&lt;&gt;"",SUMPRODUCT(($F$5:$F$304=F168)*(ROW($F$5:$F$304)&lt;ROW(F168)))+1,"")</f>
        <v/>
      </c>
      <c r="O168" s="140">
        <f>IF(F168&lt;&gt;"",TEXT(F168,"yyyymmdd")&amp;"-"&amp;N168,"")</f>
        <v/>
      </c>
    </row>
    <row r="169" ht="15" customHeight="1" s="82">
      <c r="A169" s="83" t="n"/>
      <c r="B169" s="146">
        <f>IF(C169="","","POL-"&amp;TEXT(ROW()-4,"0000"))</f>
        <v/>
      </c>
      <c r="C169" s="146" t="n"/>
      <c r="D169" s="146" t="n"/>
      <c r="E169" s="146" t="n"/>
      <c r="F169" s="147" t="n"/>
      <c r="G169" s="146" t="n"/>
      <c r="H169" s="139">
        <f>IF(OR(G169="Renewed",G169=""),0,IF(TODAY()&gt;F169,TODAY()-F169,0))</f>
        <v/>
      </c>
      <c r="I169" s="146" t="n"/>
      <c r="J169" s="146" t="n"/>
      <c r="K169" s="83" t="n"/>
      <c r="L169" s="140">
        <f>IF(AND(G169&lt;&gt;"Renewed",F169&lt;&gt;"",F169&gt;=TODAY()),SUMPRODUCT(($G$5:$G$304&lt;&gt;"Renewed")*($F$5:$F$304&lt;&gt;"")*($F$5:$F$304&gt;=TODAY())*($F$5:$F$304&lt;F169))+SUMPRODUCT(($G$5:$G$304&lt;&gt;"Renewed")*($F$5:$F$304=F169)*(ROW($F$5:$F$304)&lt;ROW(F169)))+1,"")</f>
        <v/>
      </c>
      <c r="M169" s="140">
        <f>IF(H169&gt;0,SUMPRODUCT(($H$5:$H$304&gt;H169))+SUMPRODUCT(($H$5:$H$304=H169)*(ROW($H$5:$H$304)&lt;ROW(H169)))+1,"")</f>
        <v/>
      </c>
      <c r="N169" s="140">
        <f>IF(F169&lt;&gt;"",SUMPRODUCT(($F$5:$F$304=F169)*(ROW($F$5:$F$304)&lt;ROW(F169)))+1,"")</f>
        <v/>
      </c>
      <c r="O169" s="140">
        <f>IF(F169&lt;&gt;"",TEXT(F169,"yyyymmdd")&amp;"-"&amp;N169,"")</f>
        <v/>
      </c>
    </row>
    <row r="170" ht="15" customHeight="1" s="82">
      <c r="A170" s="83" t="n"/>
      <c r="B170" s="144">
        <f>IF(C170="","","POL-"&amp;TEXT(ROW()-4,"0000"))</f>
        <v/>
      </c>
      <c r="C170" s="144" t="n"/>
      <c r="D170" s="144" t="n"/>
      <c r="E170" s="144" t="n"/>
      <c r="F170" s="145" t="n"/>
      <c r="G170" s="144" t="n"/>
      <c r="H170" s="143">
        <f>IF(OR(G170="Renewed",G170=""),0,IF(TODAY()&gt;F170,TODAY()-F170,0))</f>
        <v/>
      </c>
      <c r="I170" s="144" t="n"/>
      <c r="J170" s="144" t="n"/>
      <c r="K170" s="83" t="n"/>
      <c r="L170" s="140">
        <f>IF(AND(G170&lt;&gt;"Renewed",F170&lt;&gt;"",F170&gt;=TODAY()),SUMPRODUCT(($G$5:$G$304&lt;&gt;"Renewed")*($F$5:$F$304&lt;&gt;"")*($F$5:$F$304&gt;=TODAY())*($F$5:$F$304&lt;F170))+SUMPRODUCT(($G$5:$G$304&lt;&gt;"Renewed")*($F$5:$F$304=F170)*(ROW($F$5:$F$304)&lt;ROW(F170)))+1,"")</f>
        <v/>
      </c>
      <c r="M170" s="140">
        <f>IF(H170&gt;0,SUMPRODUCT(($H$5:$H$304&gt;H170))+SUMPRODUCT(($H$5:$H$304=H170)*(ROW($H$5:$H$304)&lt;ROW(H170)))+1,"")</f>
        <v/>
      </c>
      <c r="N170" s="140">
        <f>IF(F170&lt;&gt;"",SUMPRODUCT(($F$5:$F$304=F170)*(ROW($F$5:$F$304)&lt;ROW(F170)))+1,"")</f>
        <v/>
      </c>
      <c r="O170" s="140">
        <f>IF(F170&lt;&gt;"",TEXT(F170,"yyyymmdd")&amp;"-"&amp;N170,"")</f>
        <v/>
      </c>
    </row>
    <row r="171" ht="15" customHeight="1" s="82">
      <c r="A171" s="83" t="n"/>
      <c r="B171" s="146">
        <f>IF(C171="","","POL-"&amp;TEXT(ROW()-4,"0000"))</f>
        <v/>
      </c>
      <c r="C171" s="146" t="n"/>
      <c r="D171" s="146" t="n"/>
      <c r="E171" s="146" t="n"/>
      <c r="F171" s="147" t="n"/>
      <c r="G171" s="146" t="n"/>
      <c r="H171" s="139">
        <f>IF(OR(G171="Renewed",G171=""),0,IF(TODAY()&gt;F171,TODAY()-F171,0))</f>
        <v/>
      </c>
      <c r="I171" s="146" t="n"/>
      <c r="J171" s="146" t="n"/>
      <c r="K171" s="83" t="n"/>
      <c r="L171" s="140">
        <f>IF(AND(G171&lt;&gt;"Renewed",F171&lt;&gt;"",F171&gt;=TODAY()),SUMPRODUCT(($G$5:$G$304&lt;&gt;"Renewed")*($F$5:$F$304&lt;&gt;"")*($F$5:$F$304&gt;=TODAY())*($F$5:$F$304&lt;F171))+SUMPRODUCT(($G$5:$G$304&lt;&gt;"Renewed")*($F$5:$F$304=F171)*(ROW($F$5:$F$304)&lt;ROW(F171)))+1,"")</f>
        <v/>
      </c>
      <c r="M171" s="140">
        <f>IF(H171&gt;0,SUMPRODUCT(($H$5:$H$304&gt;H171))+SUMPRODUCT(($H$5:$H$304=H171)*(ROW($H$5:$H$304)&lt;ROW(H171)))+1,"")</f>
        <v/>
      </c>
      <c r="N171" s="140">
        <f>IF(F171&lt;&gt;"",SUMPRODUCT(($F$5:$F$304=F171)*(ROW($F$5:$F$304)&lt;ROW(F171)))+1,"")</f>
        <v/>
      </c>
      <c r="O171" s="140">
        <f>IF(F171&lt;&gt;"",TEXT(F171,"yyyymmdd")&amp;"-"&amp;N171,"")</f>
        <v/>
      </c>
    </row>
    <row r="172" ht="15" customHeight="1" s="82">
      <c r="A172" s="83" t="n"/>
      <c r="B172" s="144">
        <f>IF(C172="","","POL-"&amp;TEXT(ROW()-4,"0000"))</f>
        <v/>
      </c>
      <c r="C172" s="144" t="n"/>
      <c r="D172" s="144" t="n"/>
      <c r="E172" s="144" t="n"/>
      <c r="F172" s="145" t="n"/>
      <c r="G172" s="144" t="n"/>
      <c r="H172" s="143">
        <f>IF(OR(G172="Renewed",G172=""),0,IF(TODAY()&gt;F172,TODAY()-F172,0))</f>
        <v/>
      </c>
      <c r="I172" s="144" t="n"/>
      <c r="J172" s="144" t="n"/>
      <c r="K172" s="83" t="n"/>
      <c r="L172" s="140">
        <f>IF(AND(G172&lt;&gt;"Renewed",F172&lt;&gt;"",F172&gt;=TODAY()),SUMPRODUCT(($G$5:$G$304&lt;&gt;"Renewed")*($F$5:$F$304&lt;&gt;"")*($F$5:$F$304&gt;=TODAY())*($F$5:$F$304&lt;F172))+SUMPRODUCT(($G$5:$G$304&lt;&gt;"Renewed")*($F$5:$F$304=F172)*(ROW($F$5:$F$304)&lt;ROW(F172)))+1,"")</f>
        <v/>
      </c>
      <c r="M172" s="140">
        <f>IF(H172&gt;0,SUMPRODUCT(($H$5:$H$304&gt;H172))+SUMPRODUCT(($H$5:$H$304=H172)*(ROW($H$5:$H$304)&lt;ROW(H172)))+1,"")</f>
        <v/>
      </c>
      <c r="N172" s="140">
        <f>IF(F172&lt;&gt;"",SUMPRODUCT(($F$5:$F$304=F172)*(ROW($F$5:$F$304)&lt;ROW(F172)))+1,"")</f>
        <v/>
      </c>
      <c r="O172" s="140">
        <f>IF(F172&lt;&gt;"",TEXT(F172,"yyyymmdd")&amp;"-"&amp;N172,"")</f>
        <v/>
      </c>
    </row>
    <row r="173" ht="15" customHeight="1" s="82">
      <c r="A173" s="83" t="n"/>
      <c r="B173" s="146">
        <f>IF(C173="","","POL-"&amp;TEXT(ROW()-4,"0000"))</f>
        <v/>
      </c>
      <c r="C173" s="146" t="n"/>
      <c r="D173" s="146" t="n"/>
      <c r="E173" s="146" t="n"/>
      <c r="F173" s="147" t="n"/>
      <c r="G173" s="146" t="n"/>
      <c r="H173" s="139">
        <f>IF(OR(G173="Renewed",G173=""),0,IF(TODAY()&gt;F173,TODAY()-F173,0))</f>
        <v/>
      </c>
      <c r="I173" s="146" t="n"/>
      <c r="J173" s="146" t="n"/>
      <c r="K173" s="83" t="n"/>
      <c r="L173" s="140">
        <f>IF(AND(G173&lt;&gt;"Renewed",F173&lt;&gt;"",F173&gt;=TODAY()),SUMPRODUCT(($G$5:$G$304&lt;&gt;"Renewed")*($F$5:$F$304&lt;&gt;"")*($F$5:$F$304&gt;=TODAY())*($F$5:$F$304&lt;F173))+SUMPRODUCT(($G$5:$G$304&lt;&gt;"Renewed")*($F$5:$F$304=F173)*(ROW($F$5:$F$304)&lt;ROW(F173)))+1,"")</f>
        <v/>
      </c>
      <c r="M173" s="140">
        <f>IF(H173&gt;0,SUMPRODUCT(($H$5:$H$304&gt;H173))+SUMPRODUCT(($H$5:$H$304=H173)*(ROW($H$5:$H$304)&lt;ROW(H173)))+1,"")</f>
        <v/>
      </c>
      <c r="N173" s="140">
        <f>IF(F173&lt;&gt;"",SUMPRODUCT(($F$5:$F$304=F173)*(ROW($F$5:$F$304)&lt;ROW(F173)))+1,"")</f>
        <v/>
      </c>
      <c r="O173" s="140">
        <f>IF(F173&lt;&gt;"",TEXT(F173,"yyyymmdd")&amp;"-"&amp;N173,"")</f>
        <v/>
      </c>
    </row>
    <row r="174" ht="15" customHeight="1" s="82">
      <c r="A174" s="83" t="n"/>
      <c r="B174" s="144">
        <f>IF(C174="","","POL-"&amp;TEXT(ROW()-4,"0000"))</f>
        <v/>
      </c>
      <c r="C174" s="144" t="n"/>
      <c r="D174" s="144" t="n"/>
      <c r="E174" s="144" t="n"/>
      <c r="F174" s="145" t="n"/>
      <c r="G174" s="144" t="n"/>
      <c r="H174" s="143">
        <f>IF(OR(G174="Renewed",G174=""),0,IF(TODAY()&gt;F174,TODAY()-F174,0))</f>
        <v/>
      </c>
      <c r="I174" s="144" t="n"/>
      <c r="J174" s="144" t="n"/>
      <c r="K174" s="83" t="n"/>
      <c r="L174" s="140">
        <f>IF(AND(G174&lt;&gt;"Renewed",F174&lt;&gt;"",F174&gt;=TODAY()),SUMPRODUCT(($G$5:$G$304&lt;&gt;"Renewed")*($F$5:$F$304&lt;&gt;"")*($F$5:$F$304&gt;=TODAY())*($F$5:$F$304&lt;F174))+SUMPRODUCT(($G$5:$G$304&lt;&gt;"Renewed")*($F$5:$F$304=F174)*(ROW($F$5:$F$304)&lt;ROW(F174)))+1,"")</f>
        <v/>
      </c>
      <c r="M174" s="140">
        <f>IF(H174&gt;0,SUMPRODUCT(($H$5:$H$304&gt;H174))+SUMPRODUCT(($H$5:$H$304=H174)*(ROW($H$5:$H$304)&lt;ROW(H174)))+1,"")</f>
        <v/>
      </c>
      <c r="N174" s="140">
        <f>IF(F174&lt;&gt;"",SUMPRODUCT(($F$5:$F$304=F174)*(ROW($F$5:$F$304)&lt;ROW(F174)))+1,"")</f>
        <v/>
      </c>
      <c r="O174" s="140">
        <f>IF(F174&lt;&gt;"",TEXT(F174,"yyyymmdd")&amp;"-"&amp;N174,"")</f>
        <v/>
      </c>
    </row>
    <row r="175" ht="15" customHeight="1" s="82">
      <c r="A175" s="83" t="n"/>
      <c r="B175" s="146">
        <f>IF(C175="","","POL-"&amp;TEXT(ROW()-4,"0000"))</f>
        <v/>
      </c>
      <c r="C175" s="146" t="n"/>
      <c r="D175" s="146" t="n"/>
      <c r="E175" s="146" t="n"/>
      <c r="F175" s="147" t="n"/>
      <c r="G175" s="146" t="n"/>
      <c r="H175" s="139">
        <f>IF(OR(G175="Renewed",G175=""),0,IF(TODAY()&gt;F175,TODAY()-F175,0))</f>
        <v/>
      </c>
      <c r="I175" s="146" t="n"/>
      <c r="J175" s="146" t="n"/>
      <c r="K175" s="83" t="n"/>
      <c r="L175" s="140">
        <f>IF(AND(G175&lt;&gt;"Renewed",F175&lt;&gt;"",F175&gt;=TODAY()),SUMPRODUCT(($G$5:$G$304&lt;&gt;"Renewed")*($F$5:$F$304&lt;&gt;"")*($F$5:$F$304&gt;=TODAY())*($F$5:$F$304&lt;F175))+SUMPRODUCT(($G$5:$G$304&lt;&gt;"Renewed")*($F$5:$F$304=F175)*(ROW($F$5:$F$304)&lt;ROW(F175)))+1,"")</f>
        <v/>
      </c>
      <c r="M175" s="140">
        <f>IF(H175&gt;0,SUMPRODUCT(($H$5:$H$304&gt;H175))+SUMPRODUCT(($H$5:$H$304=H175)*(ROW($H$5:$H$304)&lt;ROW(H175)))+1,"")</f>
        <v/>
      </c>
      <c r="N175" s="140">
        <f>IF(F175&lt;&gt;"",SUMPRODUCT(($F$5:$F$304=F175)*(ROW($F$5:$F$304)&lt;ROW(F175)))+1,"")</f>
        <v/>
      </c>
      <c r="O175" s="140">
        <f>IF(F175&lt;&gt;"",TEXT(F175,"yyyymmdd")&amp;"-"&amp;N175,"")</f>
        <v/>
      </c>
    </row>
    <row r="176" ht="15" customHeight="1" s="82">
      <c r="A176" s="83" t="n"/>
      <c r="B176" s="144">
        <f>IF(C176="","","POL-"&amp;TEXT(ROW()-4,"0000"))</f>
        <v/>
      </c>
      <c r="C176" s="144" t="n"/>
      <c r="D176" s="144" t="n"/>
      <c r="E176" s="144" t="n"/>
      <c r="F176" s="145" t="n"/>
      <c r="G176" s="144" t="n"/>
      <c r="H176" s="143">
        <f>IF(OR(G176="Renewed",G176=""),0,IF(TODAY()&gt;F176,TODAY()-F176,0))</f>
        <v/>
      </c>
      <c r="I176" s="144" t="n"/>
      <c r="J176" s="144" t="n"/>
      <c r="K176" s="83" t="n"/>
      <c r="L176" s="140">
        <f>IF(AND(G176&lt;&gt;"Renewed",F176&lt;&gt;"",F176&gt;=TODAY()),SUMPRODUCT(($G$5:$G$304&lt;&gt;"Renewed")*($F$5:$F$304&lt;&gt;"")*($F$5:$F$304&gt;=TODAY())*($F$5:$F$304&lt;F176))+SUMPRODUCT(($G$5:$G$304&lt;&gt;"Renewed")*($F$5:$F$304=F176)*(ROW($F$5:$F$304)&lt;ROW(F176)))+1,"")</f>
        <v/>
      </c>
      <c r="M176" s="140">
        <f>IF(H176&gt;0,SUMPRODUCT(($H$5:$H$304&gt;H176))+SUMPRODUCT(($H$5:$H$304=H176)*(ROW($H$5:$H$304)&lt;ROW(H176)))+1,"")</f>
        <v/>
      </c>
      <c r="N176" s="140">
        <f>IF(F176&lt;&gt;"",SUMPRODUCT(($F$5:$F$304=F176)*(ROW($F$5:$F$304)&lt;ROW(F176)))+1,"")</f>
        <v/>
      </c>
      <c r="O176" s="140">
        <f>IF(F176&lt;&gt;"",TEXT(F176,"yyyymmdd")&amp;"-"&amp;N176,"")</f>
        <v/>
      </c>
    </row>
    <row r="177" ht="15" customHeight="1" s="82">
      <c r="A177" s="83" t="n"/>
      <c r="B177" s="146">
        <f>IF(C177="","","POL-"&amp;TEXT(ROW()-4,"0000"))</f>
        <v/>
      </c>
      <c r="C177" s="146" t="n"/>
      <c r="D177" s="146" t="n"/>
      <c r="E177" s="146" t="n"/>
      <c r="F177" s="147" t="n"/>
      <c r="G177" s="146" t="n"/>
      <c r="H177" s="139">
        <f>IF(OR(G177="Renewed",G177=""),0,IF(TODAY()&gt;F177,TODAY()-F177,0))</f>
        <v/>
      </c>
      <c r="I177" s="146" t="n"/>
      <c r="J177" s="146" t="n"/>
      <c r="K177" s="83" t="n"/>
      <c r="L177" s="140">
        <f>IF(AND(G177&lt;&gt;"Renewed",F177&lt;&gt;"",F177&gt;=TODAY()),SUMPRODUCT(($G$5:$G$304&lt;&gt;"Renewed")*($F$5:$F$304&lt;&gt;"")*($F$5:$F$304&gt;=TODAY())*($F$5:$F$304&lt;F177))+SUMPRODUCT(($G$5:$G$304&lt;&gt;"Renewed")*($F$5:$F$304=F177)*(ROW($F$5:$F$304)&lt;ROW(F177)))+1,"")</f>
        <v/>
      </c>
      <c r="M177" s="140">
        <f>IF(H177&gt;0,SUMPRODUCT(($H$5:$H$304&gt;H177))+SUMPRODUCT(($H$5:$H$304=H177)*(ROW($H$5:$H$304)&lt;ROW(H177)))+1,"")</f>
        <v/>
      </c>
      <c r="N177" s="140">
        <f>IF(F177&lt;&gt;"",SUMPRODUCT(($F$5:$F$304=F177)*(ROW($F$5:$F$304)&lt;ROW(F177)))+1,"")</f>
        <v/>
      </c>
      <c r="O177" s="140">
        <f>IF(F177&lt;&gt;"",TEXT(F177,"yyyymmdd")&amp;"-"&amp;N177,"")</f>
        <v/>
      </c>
    </row>
    <row r="178" ht="15" customHeight="1" s="82">
      <c r="A178" s="83" t="n"/>
      <c r="B178" s="144">
        <f>IF(C178="","","POL-"&amp;TEXT(ROW()-4,"0000"))</f>
        <v/>
      </c>
      <c r="C178" s="144" t="n"/>
      <c r="D178" s="144" t="n"/>
      <c r="E178" s="144" t="n"/>
      <c r="F178" s="145" t="n"/>
      <c r="G178" s="144" t="n"/>
      <c r="H178" s="143">
        <f>IF(OR(G178="Renewed",G178=""),0,IF(TODAY()&gt;F178,TODAY()-F178,0))</f>
        <v/>
      </c>
      <c r="I178" s="144" t="n"/>
      <c r="J178" s="144" t="n"/>
      <c r="K178" s="83" t="n"/>
      <c r="L178" s="140">
        <f>IF(AND(G178&lt;&gt;"Renewed",F178&lt;&gt;"",F178&gt;=TODAY()),SUMPRODUCT(($G$5:$G$304&lt;&gt;"Renewed")*($F$5:$F$304&lt;&gt;"")*($F$5:$F$304&gt;=TODAY())*($F$5:$F$304&lt;F178))+SUMPRODUCT(($G$5:$G$304&lt;&gt;"Renewed")*($F$5:$F$304=F178)*(ROW($F$5:$F$304)&lt;ROW(F178)))+1,"")</f>
        <v/>
      </c>
      <c r="M178" s="140">
        <f>IF(H178&gt;0,SUMPRODUCT(($H$5:$H$304&gt;H178))+SUMPRODUCT(($H$5:$H$304=H178)*(ROW($H$5:$H$304)&lt;ROW(H178)))+1,"")</f>
        <v/>
      </c>
      <c r="N178" s="140">
        <f>IF(F178&lt;&gt;"",SUMPRODUCT(($F$5:$F$304=F178)*(ROW($F$5:$F$304)&lt;ROW(F178)))+1,"")</f>
        <v/>
      </c>
      <c r="O178" s="140">
        <f>IF(F178&lt;&gt;"",TEXT(F178,"yyyymmdd")&amp;"-"&amp;N178,"")</f>
        <v/>
      </c>
    </row>
    <row r="179" ht="15" customHeight="1" s="82">
      <c r="A179" s="83" t="n"/>
      <c r="B179" s="146">
        <f>IF(C179="","","POL-"&amp;TEXT(ROW()-4,"0000"))</f>
        <v/>
      </c>
      <c r="C179" s="146" t="n"/>
      <c r="D179" s="146" t="n"/>
      <c r="E179" s="146" t="n"/>
      <c r="F179" s="147" t="n"/>
      <c r="G179" s="146" t="n"/>
      <c r="H179" s="139">
        <f>IF(OR(G179="Renewed",G179=""),0,IF(TODAY()&gt;F179,TODAY()-F179,0))</f>
        <v/>
      </c>
      <c r="I179" s="146" t="n"/>
      <c r="J179" s="146" t="n"/>
      <c r="K179" s="83" t="n"/>
      <c r="L179" s="140">
        <f>IF(AND(G179&lt;&gt;"Renewed",F179&lt;&gt;"",F179&gt;=TODAY()),SUMPRODUCT(($G$5:$G$304&lt;&gt;"Renewed")*($F$5:$F$304&lt;&gt;"")*($F$5:$F$304&gt;=TODAY())*($F$5:$F$304&lt;F179))+SUMPRODUCT(($G$5:$G$304&lt;&gt;"Renewed")*($F$5:$F$304=F179)*(ROW($F$5:$F$304)&lt;ROW(F179)))+1,"")</f>
        <v/>
      </c>
      <c r="M179" s="140">
        <f>IF(H179&gt;0,SUMPRODUCT(($H$5:$H$304&gt;H179))+SUMPRODUCT(($H$5:$H$304=H179)*(ROW($H$5:$H$304)&lt;ROW(H179)))+1,"")</f>
        <v/>
      </c>
      <c r="N179" s="140">
        <f>IF(F179&lt;&gt;"",SUMPRODUCT(($F$5:$F$304=F179)*(ROW($F$5:$F$304)&lt;ROW(F179)))+1,"")</f>
        <v/>
      </c>
      <c r="O179" s="140">
        <f>IF(F179&lt;&gt;"",TEXT(F179,"yyyymmdd")&amp;"-"&amp;N179,"")</f>
        <v/>
      </c>
    </row>
    <row r="180" ht="15" customHeight="1" s="82">
      <c r="A180" s="83" t="n"/>
      <c r="B180" s="144">
        <f>IF(C180="","","POL-"&amp;TEXT(ROW()-4,"0000"))</f>
        <v/>
      </c>
      <c r="C180" s="144" t="n"/>
      <c r="D180" s="144" t="n"/>
      <c r="E180" s="144" t="n"/>
      <c r="F180" s="145" t="n"/>
      <c r="G180" s="144" t="n"/>
      <c r="H180" s="143">
        <f>IF(OR(G180="Renewed",G180=""),0,IF(TODAY()&gt;F180,TODAY()-F180,0))</f>
        <v/>
      </c>
      <c r="I180" s="144" t="n"/>
      <c r="J180" s="144" t="n"/>
      <c r="K180" s="83" t="n"/>
      <c r="L180" s="140">
        <f>IF(AND(G180&lt;&gt;"Renewed",F180&lt;&gt;"",F180&gt;=TODAY()),SUMPRODUCT(($G$5:$G$304&lt;&gt;"Renewed")*($F$5:$F$304&lt;&gt;"")*($F$5:$F$304&gt;=TODAY())*($F$5:$F$304&lt;F180))+SUMPRODUCT(($G$5:$G$304&lt;&gt;"Renewed")*($F$5:$F$304=F180)*(ROW($F$5:$F$304)&lt;ROW(F180)))+1,"")</f>
        <v/>
      </c>
      <c r="M180" s="140">
        <f>IF(H180&gt;0,SUMPRODUCT(($H$5:$H$304&gt;H180))+SUMPRODUCT(($H$5:$H$304=H180)*(ROW($H$5:$H$304)&lt;ROW(H180)))+1,"")</f>
        <v/>
      </c>
      <c r="N180" s="140">
        <f>IF(F180&lt;&gt;"",SUMPRODUCT(($F$5:$F$304=F180)*(ROW($F$5:$F$304)&lt;ROW(F180)))+1,"")</f>
        <v/>
      </c>
      <c r="O180" s="140">
        <f>IF(F180&lt;&gt;"",TEXT(F180,"yyyymmdd")&amp;"-"&amp;N180,"")</f>
        <v/>
      </c>
    </row>
    <row r="181" ht="15" customHeight="1" s="82">
      <c r="A181" s="83" t="n"/>
      <c r="B181" s="146">
        <f>IF(C181="","","POL-"&amp;TEXT(ROW()-4,"0000"))</f>
        <v/>
      </c>
      <c r="C181" s="146" t="n"/>
      <c r="D181" s="146" t="n"/>
      <c r="E181" s="146" t="n"/>
      <c r="F181" s="147" t="n"/>
      <c r="G181" s="146" t="n"/>
      <c r="H181" s="139">
        <f>IF(OR(G181="Renewed",G181=""),0,IF(TODAY()&gt;F181,TODAY()-F181,0))</f>
        <v/>
      </c>
      <c r="I181" s="146" t="n"/>
      <c r="J181" s="146" t="n"/>
      <c r="K181" s="83" t="n"/>
      <c r="L181" s="140">
        <f>IF(AND(G181&lt;&gt;"Renewed",F181&lt;&gt;"",F181&gt;=TODAY()),SUMPRODUCT(($G$5:$G$304&lt;&gt;"Renewed")*($F$5:$F$304&lt;&gt;"")*($F$5:$F$304&gt;=TODAY())*($F$5:$F$304&lt;F181))+SUMPRODUCT(($G$5:$G$304&lt;&gt;"Renewed")*($F$5:$F$304=F181)*(ROW($F$5:$F$304)&lt;ROW(F181)))+1,"")</f>
        <v/>
      </c>
      <c r="M181" s="140">
        <f>IF(H181&gt;0,SUMPRODUCT(($H$5:$H$304&gt;H181))+SUMPRODUCT(($H$5:$H$304=H181)*(ROW($H$5:$H$304)&lt;ROW(H181)))+1,"")</f>
        <v/>
      </c>
      <c r="N181" s="140">
        <f>IF(F181&lt;&gt;"",SUMPRODUCT(($F$5:$F$304=F181)*(ROW($F$5:$F$304)&lt;ROW(F181)))+1,"")</f>
        <v/>
      </c>
      <c r="O181" s="140">
        <f>IF(F181&lt;&gt;"",TEXT(F181,"yyyymmdd")&amp;"-"&amp;N181,"")</f>
        <v/>
      </c>
    </row>
    <row r="182" ht="15" customHeight="1" s="82">
      <c r="A182" s="83" t="n"/>
      <c r="B182" s="144">
        <f>IF(C182="","","POL-"&amp;TEXT(ROW()-4,"0000"))</f>
        <v/>
      </c>
      <c r="C182" s="144" t="n"/>
      <c r="D182" s="144" t="n"/>
      <c r="E182" s="144" t="n"/>
      <c r="F182" s="145" t="n"/>
      <c r="G182" s="144" t="n"/>
      <c r="H182" s="143">
        <f>IF(OR(G182="Renewed",G182=""),0,IF(TODAY()&gt;F182,TODAY()-F182,0))</f>
        <v/>
      </c>
      <c r="I182" s="144" t="n"/>
      <c r="J182" s="144" t="n"/>
      <c r="K182" s="83" t="n"/>
      <c r="L182" s="140">
        <f>IF(AND(G182&lt;&gt;"Renewed",F182&lt;&gt;"",F182&gt;=TODAY()),SUMPRODUCT(($G$5:$G$304&lt;&gt;"Renewed")*($F$5:$F$304&lt;&gt;"")*($F$5:$F$304&gt;=TODAY())*($F$5:$F$304&lt;F182))+SUMPRODUCT(($G$5:$G$304&lt;&gt;"Renewed")*($F$5:$F$304=F182)*(ROW($F$5:$F$304)&lt;ROW(F182)))+1,"")</f>
        <v/>
      </c>
      <c r="M182" s="140">
        <f>IF(H182&gt;0,SUMPRODUCT(($H$5:$H$304&gt;H182))+SUMPRODUCT(($H$5:$H$304=H182)*(ROW($H$5:$H$304)&lt;ROW(H182)))+1,"")</f>
        <v/>
      </c>
      <c r="N182" s="140">
        <f>IF(F182&lt;&gt;"",SUMPRODUCT(($F$5:$F$304=F182)*(ROW($F$5:$F$304)&lt;ROW(F182)))+1,"")</f>
        <v/>
      </c>
      <c r="O182" s="140">
        <f>IF(F182&lt;&gt;"",TEXT(F182,"yyyymmdd")&amp;"-"&amp;N182,"")</f>
        <v/>
      </c>
    </row>
    <row r="183" ht="15" customHeight="1" s="82">
      <c r="A183" s="83" t="n"/>
      <c r="B183" s="146">
        <f>IF(C183="","","POL-"&amp;TEXT(ROW()-4,"0000"))</f>
        <v/>
      </c>
      <c r="C183" s="146" t="n"/>
      <c r="D183" s="146" t="n"/>
      <c r="E183" s="146" t="n"/>
      <c r="F183" s="147" t="n"/>
      <c r="G183" s="146" t="n"/>
      <c r="H183" s="139">
        <f>IF(OR(G183="Renewed",G183=""),0,IF(TODAY()&gt;F183,TODAY()-F183,0))</f>
        <v/>
      </c>
      <c r="I183" s="146" t="n"/>
      <c r="J183" s="146" t="n"/>
      <c r="K183" s="83" t="n"/>
      <c r="L183" s="140">
        <f>IF(AND(G183&lt;&gt;"Renewed",F183&lt;&gt;"",F183&gt;=TODAY()),SUMPRODUCT(($G$5:$G$304&lt;&gt;"Renewed")*($F$5:$F$304&lt;&gt;"")*($F$5:$F$304&gt;=TODAY())*($F$5:$F$304&lt;F183))+SUMPRODUCT(($G$5:$G$304&lt;&gt;"Renewed")*($F$5:$F$304=F183)*(ROW($F$5:$F$304)&lt;ROW(F183)))+1,"")</f>
        <v/>
      </c>
      <c r="M183" s="140">
        <f>IF(H183&gt;0,SUMPRODUCT(($H$5:$H$304&gt;H183))+SUMPRODUCT(($H$5:$H$304=H183)*(ROW($H$5:$H$304)&lt;ROW(H183)))+1,"")</f>
        <v/>
      </c>
      <c r="N183" s="140">
        <f>IF(F183&lt;&gt;"",SUMPRODUCT(($F$5:$F$304=F183)*(ROW($F$5:$F$304)&lt;ROW(F183)))+1,"")</f>
        <v/>
      </c>
      <c r="O183" s="140">
        <f>IF(F183&lt;&gt;"",TEXT(F183,"yyyymmdd")&amp;"-"&amp;N183,"")</f>
        <v/>
      </c>
    </row>
    <row r="184" ht="15" customHeight="1" s="82">
      <c r="A184" s="83" t="n"/>
      <c r="B184" s="144">
        <f>IF(C184="","","POL-"&amp;TEXT(ROW()-4,"0000"))</f>
        <v/>
      </c>
      <c r="C184" s="144" t="n"/>
      <c r="D184" s="144" t="n"/>
      <c r="E184" s="144" t="n"/>
      <c r="F184" s="145" t="n"/>
      <c r="G184" s="144" t="n"/>
      <c r="H184" s="143">
        <f>IF(OR(G184="Renewed",G184=""),0,IF(TODAY()&gt;F184,TODAY()-F184,0))</f>
        <v/>
      </c>
      <c r="I184" s="144" t="n"/>
      <c r="J184" s="144" t="n"/>
      <c r="K184" s="83" t="n"/>
      <c r="L184" s="140">
        <f>IF(AND(G184&lt;&gt;"Renewed",F184&lt;&gt;"",F184&gt;=TODAY()),SUMPRODUCT(($G$5:$G$304&lt;&gt;"Renewed")*($F$5:$F$304&lt;&gt;"")*($F$5:$F$304&gt;=TODAY())*($F$5:$F$304&lt;F184))+SUMPRODUCT(($G$5:$G$304&lt;&gt;"Renewed")*($F$5:$F$304=F184)*(ROW($F$5:$F$304)&lt;ROW(F184)))+1,"")</f>
        <v/>
      </c>
      <c r="M184" s="140">
        <f>IF(H184&gt;0,SUMPRODUCT(($H$5:$H$304&gt;H184))+SUMPRODUCT(($H$5:$H$304=H184)*(ROW($H$5:$H$304)&lt;ROW(H184)))+1,"")</f>
        <v/>
      </c>
      <c r="N184" s="140">
        <f>IF(F184&lt;&gt;"",SUMPRODUCT(($F$5:$F$304=F184)*(ROW($F$5:$F$304)&lt;ROW(F184)))+1,"")</f>
        <v/>
      </c>
      <c r="O184" s="140">
        <f>IF(F184&lt;&gt;"",TEXT(F184,"yyyymmdd")&amp;"-"&amp;N184,"")</f>
        <v/>
      </c>
    </row>
    <row r="185" ht="15" customHeight="1" s="82">
      <c r="A185" s="83" t="n"/>
      <c r="B185" s="146">
        <f>IF(C185="","","POL-"&amp;TEXT(ROW()-4,"0000"))</f>
        <v/>
      </c>
      <c r="C185" s="146" t="n"/>
      <c r="D185" s="146" t="n"/>
      <c r="E185" s="146" t="n"/>
      <c r="F185" s="147" t="n"/>
      <c r="G185" s="146" t="n"/>
      <c r="H185" s="139">
        <f>IF(OR(G185="Renewed",G185=""),0,IF(TODAY()&gt;F185,TODAY()-F185,0))</f>
        <v/>
      </c>
      <c r="I185" s="146" t="n"/>
      <c r="J185" s="146" t="n"/>
      <c r="K185" s="83" t="n"/>
      <c r="L185" s="140">
        <f>IF(AND(G185&lt;&gt;"Renewed",F185&lt;&gt;"",F185&gt;=TODAY()),SUMPRODUCT(($G$5:$G$304&lt;&gt;"Renewed")*($F$5:$F$304&lt;&gt;"")*($F$5:$F$304&gt;=TODAY())*($F$5:$F$304&lt;F185))+SUMPRODUCT(($G$5:$G$304&lt;&gt;"Renewed")*($F$5:$F$304=F185)*(ROW($F$5:$F$304)&lt;ROW(F185)))+1,"")</f>
        <v/>
      </c>
      <c r="M185" s="140">
        <f>IF(H185&gt;0,SUMPRODUCT(($H$5:$H$304&gt;H185))+SUMPRODUCT(($H$5:$H$304=H185)*(ROW($H$5:$H$304)&lt;ROW(H185)))+1,"")</f>
        <v/>
      </c>
      <c r="N185" s="140">
        <f>IF(F185&lt;&gt;"",SUMPRODUCT(($F$5:$F$304=F185)*(ROW($F$5:$F$304)&lt;ROW(F185)))+1,"")</f>
        <v/>
      </c>
      <c r="O185" s="140">
        <f>IF(F185&lt;&gt;"",TEXT(F185,"yyyymmdd")&amp;"-"&amp;N185,"")</f>
        <v/>
      </c>
    </row>
    <row r="186" ht="15" customHeight="1" s="82">
      <c r="A186" s="83" t="n"/>
      <c r="B186" s="144">
        <f>IF(C186="","","POL-"&amp;TEXT(ROW()-4,"0000"))</f>
        <v/>
      </c>
      <c r="C186" s="144" t="n"/>
      <c r="D186" s="144" t="n"/>
      <c r="E186" s="144" t="n"/>
      <c r="F186" s="145" t="n"/>
      <c r="G186" s="144" t="n"/>
      <c r="H186" s="143">
        <f>IF(OR(G186="Renewed",G186=""),0,IF(TODAY()&gt;F186,TODAY()-F186,0))</f>
        <v/>
      </c>
      <c r="I186" s="144" t="n"/>
      <c r="J186" s="144" t="n"/>
      <c r="K186" s="83" t="n"/>
      <c r="L186" s="140">
        <f>IF(AND(G186&lt;&gt;"Renewed",F186&lt;&gt;"",F186&gt;=TODAY()),SUMPRODUCT(($G$5:$G$304&lt;&gt;"Renewed")*($F$5:$F$304&lt;&gt;"")*($F$5:$F$304&gt;=TODAY())*($F$5:$F$304&lt;F186))+SUMPRODUCT(($G$5:$G$304&lt;&gt;"Renewed")*($F$5:$F$304=F186)*(ROW($F$5:$F$304)&lt;ROW(F186)))+1,"")</f>
        <v/>
      </c>
      <c r="M186" s="140">
        <f>IF(H186&gt;0,SUMPRODUCT(($H$5:$H$304&gt;H186))+SUMPRODUCT(($H$5:$H$304=H186)*(ROW($H$5:$H$304)&lt;ROW(H186)))+1,"")</f>
        <v/>
      </c>
      <c r="N186" s="140">
        <f>IF(F186&lt;&gt;"",SUMPRODUCT(($F$5:$F$304=F186)*(ROW($F$5:$F$304)&lt;ROW(F186)))+1,"")</f>
        <v/>
      </c>
      <c r="O186" s="140">
        <f>IF(F186&lt;&gt;"",TEXT(F186,"yyyymmdd")&amp;"-"&amp;N186,"")</f>
        <v/>
      </c>
    </row>
    <row r="187" ht="15" customHeight="1" s="82">
      <c r="A187" s="83" t="n"/>
      <c r="B187" s="146">
        <f>IF(C187="","","POL-"&amp;TEXT(ROW()-4,"0000"))</f>
        <v/>
      </c>
      <c r="C187" s="146" t="n"/>
      <c r="D187" s="146" t="n"/>
      <c r="E187" s="146" t="n"/>
      <c r="F187" s="147" t="n"/>
      <c r="G187" s="146" t="n"/>
      <c r="H187" s="139">
        <f>IF(OR(G187="Renewed",G187=""),0,IF(TODAY()&gt;F187,TODAY()-F187,0))</f>
        <v/>
      </c>
      <c r="I187" s="146" t="n"/>
      <c r="J187" s="146" t="n"/>
      <c r="K187" s="83" t="n"/>
      <c r="L187" s="140">
        <f>IF(AND(G187&lt;&gt;"Renewed",F187&lt;&gt;"",F187&gt;=TODAY()),SUMPRODUCT(($G$5:$G$304&lt;&gt;"Renewed")*($F$5:$F$304&lt;&gt;"")*($F$5:$F$304&gt;=TODAY())*($F$5:$F$304&lt;F187))+SUMPRODUCT(($G$5:$G$304&lt;&gt;"Renewed")*($F$5:$F$304=F187)*(ROW($F$5:$F$304)&lt;ROW(F187)))+1,"")</f>
        <v/>
      </c>
      <c r="M187" s="140">
        <f>IF(H187&gt;0,SUMPRODUCT(($H$5:$H$304&gt;H187))+SUMPRODUCT(($H$5:$H$304=H187)*(ROW($H$5:$H$304)&lt;ROW(H187)))+1,"")</f>
        <v/>
      </c>
      <c r="N187" s="140">
        <f>IF(F187&lt;&gt;"",SUMPRODUCT(($F$5:$F$304=F187)*(ROW($F$5:$F$304)&lt;ROW(F187)))+1,"")</f>
        <v/>
      </c>
      <c r="O187" s="140">
        <f>IF(F187&lt;&gt;"",TEXT(F187,"yyyymmdd")&amp;"-"&amp;N187,"")</f>
        <v/>
      </c>
    </row>
    <row r="188" ht="15" customHeight="1" s="82">
      <c r="A188" s="83" t="n"/>
      <c r="B188" s="144">
        <f>IF(C188="","","POL-"&amp;TEXT(ROW()-4,"0000"))</f>
        <v/>
      </c>
      <c r="C188" s="144" t="n"/>
      <c r="D188" s="144" t="n"/>
      <c r="E188" s="144" t="n"/>
      <c r="F188" s="145" t="n"/>
      <c r="G188" s="144" t="n"/>
      <c r="H188" s="143">
        <f>IF(OR(G188="Renewed",G188=""),0,IF(TODAY()&gt;F188,TODAY()-F188,0))</f>
        <v/>
      </c>
      <c r="I188" s="144" t="n"/>
      <c r="J188" s="144" t="n"/>
      <c r="K188" s="83" t="n"/>
      <c r="L188" s="140">
        <f>IF(AND(G188&lt;&gt;"Renewed",F188&lt;&gt;"",F188&gt;=TODAY()),SUMPRODUCT(($G$5:$G$304&lt;&gt;"Renewed")*($F$5:$F$304&lt;&gt;"")*($F$5:$F$304&gt;=TODAY())*($F$5:$F$304&lt;F188))+SUMPRODUCT(($G$5:$G$304&lt;&gt;"Renewed")*($F$5:$F$304=F188)*(ROW($F$5:$F$304)&lt;ROW(F188)))+1,"")</f>
        <v/>
      </c>
      <c r="M188" s="140">
        <f>IF(H188&gt;0,SUMPRODUCT(($H$5:$H$304&gt;H188))+SUMPRODUCT(($H$5:$H$304=H188)*(ROW($H$5:$H$304)&lt;ROW(H188)))+1,"")</f>
        <v/>
      </c>
      <c r="N188" s="140">
        <f>IF(F188&lt;&gt;"",SUMPRODUCT(($F$5:$F$304=F188)*(ROW($F$5:$F$304)&lt;ROW(F188)))+1,"")</f>
        <v/>
      </c>
      <c r="O188" s="140">
        <f>IF(F188&lt;&gt;"",TEXT(F188,"yyyymmdd")&amp;"-"&amp;N188,"")</f>
        <v/>
      </c>
    </row>
    <row r="189" ht="15" customHeight="1" s="82">
      <c r="A189" s="83" t="n"/>
      <c r="B189" s="146">
        <f>IF(C189="","","POL-"&amp;TEXT(ROW()-4,"0000"))</f>
        <v/>
      </c>
      <c r="C189" s="146" t="n"/>
      <c r="D189" s="146" t="n"/>
      <c r="E189" s="146" t="n"/>
      <c r="F189" s="147" t="n"/>
      <c r="G189" s="146" t="n"/>
      <c r="H189" s="139">
        <f>IF(OR(G189="Renewed",G189=""),0,IF(TODAY()&gt;F189,TODAY()-F189,0))</f>
        <v/>
      </c>
      <c r="I189" s="146" t="n"/>
      <c r="J189" s="146" t="n"/>
      <c r="K189" s="83" t="n"/>
      <c r="L189" s="140">
        <f>IF(AND(G189&lt;&gt;"Renewed",F189&lt;&gt;"",F189&gt;=TODAY()),SUMPRODUCT(($G$5:$G$304&lt;&gt;"Renewed")*($F$5:$F$304&lt;&gt;"")*($F$5:$F$304&gt;=TODAY())*($F$5:$F$304&lt;F189))+SUMPRODUCT(($G$5:$G$304&lt;&gt;"Renewed")*($F$5:$F$304=F189)*(ROW($F$5:$F$304)&lt;ROW(F189)))+1,"")</f>
        <v/>
      </c>
      <c r="M189" s="140">
        <f>IF(H189&gt;0,SUMPRODUCT(($H$5:$H$304&gt;H189))+SUMPRODUCT(($H$5:$H$304=H189)*(ROW($H$5:$H$304)&lt;ROW(H189)))+1,"")</f>
        <v/>
      </c>
      <c r="N189" s="140">
        <f>IF(F189&lt;&gt;"",SUMPRODUCT(($F$5:$F$304=F189)*(ROW($F$5:$F$304)&lt;ROW(F189)))+1,"")</f>
        <v/>
      </c>
      <c r="O189" s="140">
        <f>IF(F189&lt;&gt;"",TEXT(F189,"yyyymmdd")&amp;"-"&amp;N189,"")</f>
        <v/>
      </c>
    </row>
    <row r="190" ht="15" customHeight="1" s="82">
      <c r="A190" s="83" t="n"/>
      <c r="B190" s="144">
        <f>IF(C190="","","POL-"&amp;TEXT(ROW()-4,"0000"))</f>
        <v/>
      </c>
      <c r="C190" s="144" t="n"/>
      <c r="D190" s="144" t="n"/>
      <c r="E190" s="144" t="n"/>
      <c r="F190" s="145" t="n"/>
      <c r="G190" s="144" t="n"/>
      <c r="H190" s="143">
        <f>IF(OR(G190="Renewed",G190=""),0,IF(TODAY()&gt;F190,TODAY()-F190,0))</f>
        <v/>
      </c>
      <c r="I190" s="144" t="n"/>
      <c r="J190" s="144" t="n"/>
      <c r="K190" s="83" t="n"/>
      <c r="L190" s="140">
        <f>IF(AND(G190&lt;&gt;"Renewed",F190&lt;&gt;"",F190&gt;=TODAY()),SUMPRODUCT(($G$5:$G$304&lt;&gt;"Renewed")*($F$5:$F$304&lt;&gt;"")*($F$5:$F$304&gt;=TODAY())*($F$5:$F$304&lt;F190))+SUMPRODUCT(($G$5:$G$304&lt;&gt;"Renewed")*($F$5:$F$304=F190)*(ROW($F$5:$F$304)&lt;ROW(F190)))+1,"")</f>
        <v/>
      </c>
      <c r="M190" s="140">
        <f>IF(H190&gt;0,SUMPRODUCT(($H$5:$H$304&gt;H190))+SUMPRODUCT(($H$5:$H$304=H190)*(ROW($H$5:$H$304)&lt;ROW(H190)))+1,"")</f>
        <v/>
      </c>
      <c r="N190" s="140">
        <f>IF(F190&lt;&gt;"",SUMPRODUCT(($F$5:$F$304=F190)*(ROW($F$5:$F$304)&lt;ROW(F190)))+1,"")</f>
        <v/>
      </c>
      <c r="O190" s="140">
        <f>IF(F190&lt;&gt;"",TEXT(F190,"yyyymmdd")&amp;"-"&amp;N190,"")</f>
        <v/>
      </c>
    </row>
    <row r="191" ht="15" customHeight="1" s="82">
      <c r="A191" s="83" t="n"/>
      <c r="B191" s="146">
        <f>IF(C191="","","POL-"&amp;TEXT(ROW()-4,"0000"))</f>
        <v/>
      </c>
      <c r="C191" s="146" t="n"/>
      <c r="D191" s="146" t="n"/>
      <c r="E191" s="146" t="n"/>
      <c r="F191" s="147" t="n"/>
      <c r="G191" s="146" t="n"/>
      <c r="H191" s="139">
        <f>IF(OR(G191="Renewed",G191=""),0,IF(TODAY()&gt;F191,TODAY()-F191,0))</f>
        <v/>
      </c>
      <c r="I191" s="146" t="n"/>
      <c r="J191" s="146" t="n"/>
      <c r="K191" s="83" t="n"/>
      <c r="L191" s="140">
        <f>IF(AND(G191&lt;&gt;"Renewed",F191&lt;&gt;"",F191&gt;=TODAY()),SUMPRODUCT(($G$5:$G$304&lt;&gt;"Renewed")*($F$5:$F$304&lt;&gt;"")*($F$5:$F$304&gt;=TODAY())*($F$5:$F$304&lt;F191))+SUMPRODUCT(($G$5:$G$304&lt;&gt;"Renewed")*($F$5:$F$304=F191)*(ROW($F$5:$F$304)&lt;ROW(F191)))+1,"")</f>
        <v/>
      </c>
      <c r="M191" s="140">
        <f>IF(H191&gt;0,SUMPRODUCT(($H$5:$H$304&gt;H191))+SUMPRODUCT(($H$5:$H$304=H191)*(ROW($H$5:$H$304)&lt;ROW(H191)))+1,"")</f>
        <v/>
      </c>
      <c r="N191" s="140">
        <f>IF(F191&lt;&gt;"",SUMPRODUCT(($F$5:$F$304=F191)*(ROW($F$5:$F$304)&lt;ROW(F191)))+1,"")</f>
        <v/>
      </c>
      <c r="O191" s="140">
        <f>IF(F191&lt;&gt;"",TEXT(F191,"yyyymmdd")&amp;"-"&amp;N191,"")</f>
        <v/>
      </c>
    </row>
    <row r="192" ht="15" customHeight="1" s="82">
      <c r="A192" s="83" t="n"/>
      <c r="B192" s="144">
        <f>IF(C192="","","POL-"&amp;TEXT(ROW()-4,"0000"))</f>
        <v/>
      </c>
      <c r="C192" s="144" t="n"/>
      <c r="D192" s="144" t="n"/>
      <c r="E192" s="144" t="n"/>
      <c r="F192" s="145" t="n"/>
      <c r="G192" s="144" t="n"/>
      <c r="H192" s="143">
        <f>IF(OR(G192="Renewed",G192=""),0,IF(TODAY()&gt;F192,TODAY()-F192,0))</f>
        <v/>
      </c>
      <c r="I192" s="144" t="n"/>
      <c r="J192" s="144" t="n"/>
      <c r="K192" s="83" t="n"/>
      <c r="L192" s="140">
        <f>IF(AND(G192&lt;&gt;"Renewed",F192&lt;&gt;"",F192&gt;=TODAY()),SUMPRODUCT(($G$5:$G$304&lt;&gt;"Renewed")*($F$5:$F$304&lt;&gt;"")*($F$5:$F$304&gt;=TODAY())*($F$5:$F$304&lt;F192))+SUMPRODUCT(($G$5:$G$304&lt;&gt;"Renewed")*($F$5:$F$304=F192)*(ROW($F$5:$F$304)&lt;ROW(F192)))+1,"")</f>
        <v/>
      </c>
      <c r="M192" s="140">
        <f>IF(H192&gt;0,SUMPRODUCT(($H$5:$H$304&gt;H192))+SUMPRODUCT(($H$5:$H$304=H192)*(ROW($H$5:$H$304)&lt;ROW(H192)))+1,"")</f>
        <v/>
      </c>
      <c r="N192" s="140">
        <f>IF(F192&lt;&gt;"",SUMPRODUCT(($F$5:$F$304=F192)*(ROW($F$5:$F$304)&lt;ROW(F192)))+1,"")</f>
        <v/>
      </c>
      <c r="O192" s="140">
        <f>IF(F192&lt;&gt;"",TEXT(F192,"yyyymmdd")&amp;"-"&amp;N192,"")</f>
        <v/>
      </c>
    </row>
    <row r="193" ht="15" customHeight="1" s="82">
      <c r="A193" s="83" t="n"/>
      <c r="B193" s="146">
        <f>IF(C193="","","POL-"&amp;TEXT(ROW()-4,"0000"))</f>
        <v/>
      </c>
      <c r="C193" s="146" t="n"/>
      <c r="D193" s="146" t="n"/>
      <c r="E193" s="146" t="n"/>
      <c r="F193" s="147" t="n"/>
      <c r="G193" s="146" t="n"/>
      <c r="H193" s="139">
        <f>IF(OR(G193="Renewed",G193=""),0,IF(TODAY()&gt;F193,TODAY()-F193,0))</f>
        <v/>
      </c>
      <c r="I193" s="146" t="n"/>
      <c r="J193" s="146" t="n"/>
      <c r="K193" s="83" t="n"/>
      <c r="L193" s="140">
        <f>IF(AND(G193&lt;&gt;"Renewed",F193&lt;&gt;"",F193&gt;=TODAY()),SUMPRODUCT(($G$5:$G$304&lt;&gt;"Renewed")*($F$5:$F$304&lt;&gt;"")*($F$5:$F$304&gt;=TODAY())*($F$5:$F$304&lt;F193))+SUMPRODUCT(($G$5:$G$304&lt;&gt;"Renewed")*($F$5:$F$304=F193)*(ROW($F$5:$F$304)&lt;ROW(F193)))+1,"")</f>
        <v/>
      </c>
      <c r="M193" s="140">
        <f>IF(H193&gt;0,SUMPRODUCT(($H$5:$H$304&gt;H193))+SUMPRODUCT(($H$5:$H$304=H193)*(ROW($H$5:$H$304)&lt;ROW(H193)))+1,"")</f>
        <v/>
      </c>
      <c r="N193" s="140">
        <f>IF(F193&lt;&gt;"",SUMPRODUCT(($F$5:$F$304=F193)*(ROW($F$5:$F$304)&lt;ROW(F193)))+1,"")</f>
        <v/>
      </c>
      <c r="O193" s="140">
        <f>IF(F193&lt;&gt;"",TEXT(F193,"yyyymmdd")&amp;"-"&amp;N193,"")</f>
        <v/>
      </c>
    </row>
    <row r="194" ht="15" customHeight="1" s="82">
      <c r="A194" s="83" t="n"/>
      <c r="B194" s="144">
        <f>IF(C194="","","POL-"&amp;TEXT(ROW()-4,"0000"))</f>
        <v/>
      </c>
      <c r="C194" s="144" t="n"/>
      <c r="D194" s="144" t="n"/>
      <c r="E194" s="144" t="n"/>
      <c r="F194" s="145" t="n"/>
      <c r="G194" s="144" t="n"/>
      <c r="H194" s="143">
        <f>IF(OR(G194="Renewed",G194=""),0,IF(TODAY()&gt;F194,TODAY()-F194,0))</f>
        <v/>
      </c>
      <c r="I194" s="144" t="n"/>
      <c r="J194" s="144" t="n"/>
      <c r="K194" s="83" t="n"/>
      <c r="L194" s="140">
        <f>IF(AND(G194&lt;&gt;"Renewed",F194&lt;&gt;"",F194&gt;=TODAY()),SUMPRODUCT(($G$5:$G$304&lt;&gt;"Renewed")*($F$5:$F$304&lt;&gt;"")*($F$5:$F$304&gt;=TODAY())*($F$5:$F$304&lt;F194))+SUMPRODUCT(($G$5:$G$304&lt;&gt;"Renewed")*($F$5:$F$304=F194)*(ROW($F$5:$F$304)&lt;ROW(F194)))+1,"")</f>
        <v/>
      </c>
      <c r="M194" s="140">
        <f>IF(H194&gt;0,SUMPRODUCT(($H$5:$H$304&gt;H194))+SUMPRODUCT(($H$5:$H$304=H194)*(ROW($H$5:$H$304)&lt;ROW(H194)))+1,"")</f>
        <v/>
      </c>
      <c r="N194" s="140">
        <f>IF(F194&lt;&gt;"",SUMPRODUCT(($F$5:$F$304=F194)*(ROW($F$5:$F$304)&lt;ROW(F194)))+1,"")</f>
        <v/>
      </c>
      <c r="O194" s="140">
        <f>IF(F194&lt;&gt;"",TEXT(F194,"yyyymmdd")&amp;"-"&amp;N194,"")</f>
        <v/>
      </c>
    </row>
    <row r="195" ht="15" customHeight="1" s="82">
      <c r="A195" s="83" t="n"/>
      <c r="B195" s="146">
        <f>IF(C195="","","POL-"&amp;TEXT(ROW()-4,"0000"))</f>
        <v/>
      </c>
      <c r="C195" s="146" t="n"/>
      <c r="D195" s="146" t="n"/>
      <c r="E195" s="146" t="n"/>
      <c r="F195" s="147" t="n"/>
      <c r="G195" s="146" t="n"/>
      <c r="H195" s="139">
        <f>IF(OR(G195="Renewed",G195=""),0,IF(TODAY()&gt;F195,TODAY()-F195,0))</f>
        <v/>
      </c>
      <c r="I195" s="146" t="n"/>
      <c r="J195" s="146" t="n"/>
      <c r="K195" s="83" t="n"/>
      <c r="L195" s="140">
        <f>IF(AND(G195&lt;&gt;"Renewed",F195&lt;&gt;"",F195&gt;=TODAY()),SUMPRODUCT(($G$5:$G$304&lt;&gt;"Renewed")*($F$5:$F$304&lt;&gt;"")*($F$5:$F$304&gt;=TODAY())*($F$5:$F$304&lt;F195))+SUMPRODUCT(($G$5:$G$304&lt;&gt;"Renewed")*($F$5:$F$304=F195)*(ROW($F$5:$F$304)&lt;ROW(F195)))+1,"")</f>
        <v/>
      </c>
      <c r="M195" s="140">
        <f>IF(H195&gt;0,SUMPRODUCT(($H$5:$H$304&gt;H195))+SUMPRODUCT(($H$5:$H$304=H195)*(ROW($H$5:$H$304)&lt;ROW(H195)))+1,"")</f>
        <v/>
      </c>
      <c r="N195" s="140">
        <f>IF(F195&lt;&gt;"",SUMPRODUCT(($F$5:$F$304=F195)*(ROW($F$5:$F$304)&lt;ROW(F195)))+1,"")</f>
        <v/>
      </c>
      <c r="O195" s="140">
        <f>IF(F195&lt;&gt;"",TEXT(F195,"yyyymmdd")&amp;"-"&amp;N195,"")</f>
        <v/>
      </c>
    </row>
    <row r="196" ht="15" customHeight="1" s="82">
      <c r="A196" s="83" t="n"/>
      <c r="B196" s="144">
        <f>IF(C196="","","POL-"&amp;TEXT(ROW()-4,"0000"))</f>
        <v/>
      </c>
      <c r="C196" s="144" t="n"/>
      <c r="D196" s="144" t="n"/>
      <c r="E196" s="144" t="n"/>
      <c r="F196" s="145" t="n"/>
      <c r="G196" s="144" t="n"/>
      <c r="H196" s="143">
        <f>IF(OR(G196="Renewed",G196=""),0,IF(TODAY()&gt;F196,TODAY()-F196,0))</f>
        <v/>
      </c>
      <c r="I196" s="144" t="n"/>
      <c r="J196" s="144" t="n"/>
      <c r="K196" s="83" t="n"/>
      <c r="L196" s="140">
        <f>IF(AND(G196&lt;&gt;"Renewed",F196&lt;&gt;"",F196&gt;=TODAY()),SUMPRODUCT(($G$5:$G$304&lt;&gt;"Renewed")*($F$5:$F$304&lt;&gt;"")*($F$5:$F$304&gt;=TODAY())*($F$5:$F$304&lt;F196))+SUMPRODUCT(($G$5:$G$304&lt;&gt;"Renewed")*($F$5:$F$304=F196)*(ROW($F$5:$F$304)&lt;ROW(F196)))+1,"")</f>
        <v/>
      </c>
      <c r="M196" s="140">
        <f>IF(H196&gt;0,SUMPRODUCT(($H$5:$H$304&gt;H196))+SUMPRODUCT(($H$5:$H$304=H196)*(ROW($H$5:$H$304)&lt;ROW(H196)))+1,"")</f>
        <v/>
      </c>
      <c r="N196" s="140">
        <f>IF(F196&lt;&gt;"",SUMPRODUCT(($F$5:$F$304=F196)*(ROW($F$5:$F$304)&lt;ROW(F196)))+1,"")</f>
        <v/>
      </c>
      <c r="O196" s="140">
        <f>IF(F196&lt;&gt;"",TEXT(F196,"yyyymmdd")&amp;"-"&amp;N196,"")</f>
        <v/>
      </c>
    </row>
    <row r="197" ht="15" customHeight="1" s="82">
      <c r="A197" s="83" t="n"/>
      <c r="B197" s="146">
        <f>IF(C197="","","POL-"&amp;TEXT(ROW()-4,"0000"))</f>
        <v/>
      </c>
      <c r="C197" s="146" t="n"/>
      <c r="D197" s="146" t="n"/>
      <c r="E197" s="146" t="n"/>
      <c r="F197" s="147" t="n"/>
      <c r="G197" s="146" t="n"/>
      <c r="H197" s="139">
        <f>IF(OR(G197="Renewed",G197=""),0,IF(TODAY()&gt;F197,TODAY()-F197,0))</f>
        <v/>
      </c>
      <c r="I197" s="146" t="n"/>
      <c r="J197" s="146" t="n"/>
      <c r="K197" s="83" t="n"/>
      <c r="L197" s="140">
        <f>IF(AND(G197&lt;&gt;"Renewed",F197&lt;&gt;"",F197&gt;=TODAY()),SUMPRODUCT(($G$5:$G$304&lt;&gt;"Renewed")*($F$5:$F$304&lt;&gt;"")*($F$5:$F$304&gt;=TODAY())*($F$5:$F$304&lt;F197))+SUMPRODUCT(($G$5:$G$304&lt;&gt;"Renewed")*($F$5:$F$304=F197)*(ROW($F$5:$F$304)&lt;ROW(F197)))+1,"")</f>
        <v/>
      </c>
      <c r="M197" s="140">
        <f>IF(H197&gt;0,SUMPRODUCT(($H$5:$H$304&gt;H197))+SUMPRODUCT(($H$5:$H$304=H197)*(ROW($H$5:$H$304)&lt;ROW(H197)))+1,"")</f>
        <v/>
      </c>
      <c r="N197" s="140">
        <f>IF(F197&lt;&gt;"",SUMPRODUCT(($F$5:$F$304=F197)*(ROW($F$5:$F$304)&lt;ROW(F197)))+1,"")</f>
        <v/>
      </c>
      <c r="O197" s="140">
        <f>IF(F197&lt;&gt;"",TEXT(F197,"yyyymmdd")&amp;"-"&amp;N197,"")</f>
        <v/>
      </c>
    </row>
    <row r="198" ht="15" customHeight="1" s="82">
      <c r="A198" s="83" t="n"/>
      <c r="B198" s="144">
        <f>IF(C198="","","POL-"&amp;TEXT(ROW()-4,"0000"))</f>
        <v/>
      </c>
      <c r="C198" s="144" t="n"/>
      <c r="D198" s="144" t="n"/>
      <c r="E198" s="144" t="n"/>
      <c r="F198" s="145" t="n"/>
      <c r="G198" s="144" t="n"/>
      <c r="H198" s="143">
        <f>IF(OR(G198="Renewed",G198=""),0,IF(TODAY()&gt;F198,TODAY()-F198,0))</f>
        <v/>
      </c>
      <c r="I198" s="144" t="n"/>
      <c r="J198" s="144" t="n"/>
      <c r="K198" s="83" t="n"/>
      <c r="L198" s="140">
        <f>IF(AND(G198&lt;&gt;"Renewed",F198&lt;&gt;"",F198&gt;=TODAY()),SUMPRODUCT(($G$5:$G$304&lt;&gt;"Renewed")*($F$5:$F$304&lt;&gt;"")*($F$5:$F$304&gt;=TODAY())*($F$5:$F$304&lt;F198))+SUMPRODUCT(($G$5:$G$304&lt;&gt;"Renewed")*($F$5:$F$304=F198)*(ROW($F$5:$F$304)&lt;ROW(F198)))+1,"")</f>
        <v/>
      </c>
      <c r="M198" s="140">
        <f>IF(H198&gt;0,SUMPRODUCT(($H$5:$H$304&gt;H198))+SUMPRODUCT(($H$5:$H$304=H198)*(ROW($H$5:$H$304)&lt;ROW(H198)))+1,"")</f>
        <v/>
      </c>
      <c r="N198" s="140">
        <f>IF(F198&lt;&gt;"",SUMPRODUCT(($F$5:$F$304=F198)*(ROW($F$5:$F$304)&lt;ROW(F198)))+1,"")</f>
        <v/>
      </c>
      <c r="O198" s="140">
        <f>IF(F198&lt;&gt;"",TEXT(F198,"yyyymmdd")&amp;"-"&amp;N198,"")</f>
        <v/>
      </c>
    </row>
    <row r="199" ht="15" customHeight="1" s="82">
      <c r="A199" s="83" t="n"/>
      <c r="B199" s="146">
        <f>IF(C199="","","POL-"&amp;TEXT(ROW()-4,"0000"))</f>
        <v/>
      </c>
      <c r="C199" s="146" t="n"/>
      <c r="D199" s="146" t="n"/>
      <c r="E199" s="146" t="n"/>
      <c r="F199" s="147" t="n"/>
      <c r="G199" s="146" t="n"/>
      <c r="H199" s="139">
        <f>IF(OR(G199="Renewed",G199=""),0,IF(TODAY()&gt;F199,TODAY()-F199,0))</f>
        <v/>
      </c>
      <c r="I199" s="146" t="n"/>
      <c r="J199" s="146" t="n"/>
      <c r="K199" s="83" t="n"/>
      <c r="L199" s="140">
        <f>IF(AND(G199&lt;&gt;"Renewed",F199&lt;&gt;"",F199&gt;=TODAY()),SUMPRODUCT(($G$5:$G$304&lt;&gt;"Renewed")*($F$5:$F$304&lt;&gt;"")*($F$5:$F$304&gt;=TODAY())*($F$5:$F$304&lt;F199))+SUMPRODUCT(($G$5:$G$304&lt;&gt;"Renewed")*($F$5:$F$304=F199)*(ROW($F$5:$F$304)&lt;ROW(F199)))+1,"")</f>
        <v/>
      </c>
      <c r="M199" s="140">
        <f>IF(H199&gt;0,SUMPRODUCT(($H$5:$H$304&gt;H199))+SUMPRODUCT(($H$5:$H$304=H199)*(ROW($H$5:$H$304)&lt;ROW(H199)))+1,"")</f>
        <v/>
      </c>
      <c r="N199" s="140">
        <f>IF(F199&lt;&gt;"",SUMPRODUCT(($F$5:$F$304=F199)*(ROW($F$5:$F$304)&lt;ROW(F199)))+1,"")</f>
        <v/>
      </c>
      <c r="O199" s="140">
        <f>IF(F199&lt;&gt;"",TEXT(F199,"yyyymmdd")&amp;"-"&amp;N199,"")</f>
        <v/>
      </c>
    </row>
    <row r="200" ht="15" customHeight="1" s="82">
      <c r="A200" s="83" t="n"/>
      <c r="B200" s="144">
        <f>IF(C200="","","POL-"&amp;TEXT(ROW()-4,"0000"))</f>
        <v/>
      </c>
      <c r="C200" s="144" t="n"/>
      <c r="D200" s="144" t="n"/>
      <c r="E200" s="144" t="n"/>
      <c r="F200" s="145" t="n"/>
      <c r="G200" s="144" t="n"/>
      <c r="H200" s="143">
        <f>IF(OR(G200="Renewed",G200=""),0,IF(TODAY()&gt;F200,TODAY()-F200,0))</f>
        <v/>
      </c>
      <c r="I200" s="144" t="n"/>
      <c r="J200" s="144" t="n"/>
      <c r="K200" s="83" t="n"/>
      <c r="L200" s="140">
        <f>IF(AND(G200&lt;&gt;"Renewed",F200&lt;&gt;"",F200&gt;=TODAY()),SUMPRODUCT(($G$5:$G$304&lt;&gt;"Renewed")*($F$5:$F$304&lt;&gt;"")*($F$5:$F$304&gt;=TODAY())*($F$5:$F$304&lt;F200))+SUMPRODUCT(($G$5:$G$304&lt;&gt;"Renewed")*($F$5:$F$304=F200)*(ROW($F$5:$F$304)&lt;ROW(F200)))+1,"")</f>
        <v/>
      </c>
      <c r="M200" s="140">
        <f>IF(H200&gt;0,SUMPRODUCT(($H$5:$H$304&gt;H200))+SUMPRODUCT(($H$5:$H$304=H200)*(ROW($H$5:$H$304)&lt;ROW(H200)))+1,"")</f>
        <v/>
      </c>
      <c r="N200" s="140">
        <f>IF(F200&lt;&gt;"",SUMPRODUCT(($F$5:$F$304=F200)*(ROW($F$5:$F$304)&lt;ROW(F200)))+1,"")</f>
        <v/>
      </c>
      <c r="O200" s="140">
        <f>IF(F200&lt;&gt;"",TEXT(F200,"yyyymmdd")&amp;"-"&amp;N200,"")</f>
        <v/>
      </c>
    </row>
    <row r="201" ht="15" customHeight="1" s="82">
      <c r="A201" s="83" t="n"/>
      <c r="B201" s="146">
        <f>IF(C201="","","POL-"&amp;TEXT(ROW()-4,"0000"))</f>
        <v/>
      </c>
      <c r="C201" s="146" t="n"/>
      <c r="D201" s="146" t="n"/>
      <c r="E201" s="146" t="n"/>
      <c r="F201" s="147" t="n"/>
      <c r="G201" s="146" t="n"/>
      <c r="H201" s="139">
        <f>IF(OR(G201="Renewed",G201=""),0,IF(TODAY()&gt;F201,TODAY()-F201,0))</f>
        <v/>
      </c>
      <c r="I201" s="146" t="n"/>
      <c r="J201" s="146" t="n"/>
      <c r="K201" s="83" t="n"/>
      <c r="L201" s="140">
        <f>IF(AND(G201&lt;&gt;"Renewed",F201&lt;&gt;"",F201&gt;=TODAY()),SUMPRODUCT(($G$5:$G$304&lt;&gt;"Renewed")*($F$5:$F$304&lt;&gt;"")*($F$5:$F$304&gt;=TODAY())*($F$5:$F$304&lt;F201))+SUMPRODUCT(($G$5:$G$304&lt;&gt;"Renewed")*($F$5:$F$304=F201)*(ROW($F$5:$F$304)&lt;ROW(F201)))+1,"")</f>
        <v/>
      </c>
      <c r="M201" s="140">
        <f>IF(H201&gt;0,SUMPRODUCT(($H$5:$H$304&gt;H201))+SUMPRODUCT(($H$5:$H$304=H201)*(ROW($H$5:$H$304)&lt;ROW(H201)))+1,"")</f>
        <v/>
      </c>
      <c r="N201" s="140">
        <f>IF(F201&lt;&gt;"",SUMPRODUCT(($F$5:$F$304=F201)*(ROW($F$5:$F$304)&lt;ROW(F201)))+1,"")</f>
        <v/>
      </c>
      <c r="O201" s="140">
        <f>IF(F201&lt;&gt;"",TEXT(F201,"yyyymmdd")&amp;"-"&amp;N201,"")</f>
        <v/>
      </c>
    </row>
    <row r="202" ht="15" customHeight="1" s="82">
      <c r="A202" s="83" t="n"/>
      <c r="B202" s="144">
        <f>IF(C202="","","POL-"&amp;TEXT(ROW()-4,"0000"))</f>
        <v/>
      </c>
      <c r="C202" s="144" t="n"/>
      <c r="D202" s="144" t="n"/>
      <c r="E202" s="144" t="n"/>
      <c r="F202" s="145" t="n"/>
      <c r="G202" s="144" t="n"/>
      <c r="H202" s="143">
        <f>IF(OR(G202="Renewed",G202=""),0,IF(TODAY()&gt;F202,TODAY()-F202,0))</f>
        <v/>
      </c>
      <c r="I202" s="144" t="n"/>
      <c r="J202" s="144" t="n"/>
      <c r="K202" s="83" t="n"/>
      <c r="L202" s="140">
        <f>IF(AND(G202&lt;&gt;"Renewed",F202&lt;&gt;"",F202&gt;=TODAY()),SUMPRODUCT(($G$5:$G$304&lt;&gt;"Renewed")*($F$5:$F$304&lt;&gt;"")*($F$5:$F$304&gt;=TODAY())*($F$5:$F$304&lt;F202))+SUMPRODUCT(($G$5:$G$304&lt;&gt;"Renewed")*($F$5:$F$304=F202)*(ROW($F$5:$F$304)&lt;ROW(F202)))+1,"")</f>
        <v/>
      </c>
      <c r="M202" s="140">
        <f>IF(H202&gt;0,SUMPRODUCT(($H$5:$H$304&gt;H202))+SUMPRODUCT(($H$5:$H$304=H202)*(ROW($H$5:$H$304)&lt;ROW(H202)))+1,"")</f>
        <v/>
      </c>
      <c r="N202" s="140">
        <f>IF(F202&lt;&gt;"",SUMPRODUCT(($F$5:$F$304=F202)*(ROW($F$5:$F$304)&lt;ROW(F202)))+1,"")</f>
        <v/>
      </c>
      <c r="O202" s="140">
        <f>IF(F202&lt;&gt;"",TEXT(F202,"yyyymmdd")&amp;"-"&amp;N202,"")</f>
        <v/>
      </c>
    </row>
    <row r="203" ht="15" customHeight="1" s="82">
      <c r="A203" s="83" t="n"/>
      <c r="B203" s="146">
        <f>IF(C203="","","POL-"&amp;TEXT(ROW()-4,"0000"))</f>
        <v/>
      </c>
      <c r="C203" s="146" t="n"/>
      <c r="D203" s="146" t="n"/>
      <c r="E203" s="146" t="n"/>
      <c r="F203" s="147" t="n"/>
      <c r="G203" s="146" t="n"/>
      <c r="H203" s="139">
        <f>IF(OR(G203="Renewed",G203=""),0,IF(TODAY()&gt;F203,TODAY()-F203,0))</f>
        <v/>
      </c>
      <c r="I203" s="146" t="n"/>
      <c r="J203" s="146" t="n"/>
      <c r="K203" s="83" t="n"/>
      <c r="L203" s="140">
        <f>IF(AND(G203&lt;&gt;"Renewed",F203&lt;&gt;"",F203&gt;=TODAY()),SUMPRODUCT(($G$5:$G$304&lt;&gt;"Renewed")*($F$5:$F$304&lt;&gt;"")*($F$5:$F$304&gt;=TODAY())*($F$5:$F$304&lt;F203))+SUMPRODUCT(($G$5:$G$304&lt;&gt;"Renewed")*($F$5:$F$304=F203)*(ROW($F$5:$F$304)&lt;ROW(F203)))+1,"")</f>
        <v/>
      </c>
      <c r="M203" s="140">
        <f>IF(H203&gt;0,SUMPRODUCT(($H$5:$H$304&gt;H203))+SUMPRODUCT(($H$5:$H$304=H203)*(ROW($H$5:$H$304)&lt;ROW(H203)))+1,"")</f>
        <v/>
      </c>
      <c r="N203" s="140">
        <f>IF(F203&lt;&gt;"",SUMPRODUCT(($F$5:$F$304=F203)*(ROW($F$5:$F$304)&lt;ROW(F203)))+1,"")</f>
        <v/>
      </c>
      <c r="O203" s="140">
        <f>IF(F203&lt;&gt;"",TEXT(F203,"yyyymmdd")&amp;"-"&amp;N203,"")</f>
        <v/>
      </c>
    </row>
    <row r="204" ht="15" customHeight="1" s="82">
      <c r="A204" s="83" t="n"/>
      <c r="B204" s="144">
        <f>IF(C204="","","POL-"&amp;TEXT(ROW()-4,"0000"))</f>
        <v/>
      </c>
      <c r="C204" s="144" t="n"/>
      <c r="D204" s="144" t="n"/>
      <c r="E204" s="144" t="n"/>
      <c r="F204" s="145" t="n"/>
      <c r="G204" s="144" t="n"/>
      <c r="H204" s="143">
        <f>IF(OR(G204="Renewed",G204=""),0,IF(TODAY()&gt;F204,TODAY()-F204,0))</f>
        <v/>
      </c>
      <c r="I204" s="144" t="n"/>
      <c r="J204" s="144" t="n"/>
      <c r="K204" s="83" t="n"/>
      <c r="L204" s="140">
        <f>IF(AND(G204&lt;&gt;"Renewed",F204&lt;&gt;"",F204&gt;=TODAY()),SUMPRODUCT(($G$5:$G$304&lt;&gt;"Renewed")*($F$5:$F$304&lt;&gt;"")*($F$5:$F$304&gt;=TODAY())*($F$5:$F$304&lt;F204))+SUMPRODUCT(($G$5:$G$304&lt;&gt;"Renewed")*($F$5:$F$304=F204)*(ROW($F$5:$F$304)&lt;ROW(F204)))+1,"")</f>
        <v/>
      </c>
      <c r="M204" s="140">
        <f>IF(H204&gt;0,SUMPRODUCT(($H$5:$H$304&gt;H204))+SUMPRODUCT(($H$5:$H$304=H204)*(ROW($H$5:$H$304)&lt;ROW(H204)))+1,"")</f>
        <v/>
      </c>
      <c r="N204" s="140">
        <f>IF(F204&lt;&gt;"",SUMPRODUCT(($F$5:$F$304=F204)*(ROW($F$5:$F$304)&lt;ROW(F204)))+1,"")</f>
        <v/>
      </c>
      <c r="O204" s="140">
        <f>IF(F204&lt;&gt;"",TEXT(F204,"yyyymmdd")&amp;"-"&amp;N204,"")</f>
        <v/>
      </c>
    </row>
    <row r="205" ht="15" customHeight="1" s="82">
      <c r="A205" s="83" t="n"/>
      <c r="B205" s="146">
        <f>IF(C205="","","POL-"&amp;TEXT(ROW()-4,"0000"))</f>
        <v/>
      </c>
      <c r="C205" s="146" t="n"/>
      <c r="D205" s="146" t="n"/>
      <c r="E205" s="146" t="n"/>
      <c r="F205" s="147" t="n"/>
      <c r="G205" s="146" t="n"/>
      <c r="H205" s="139">
        <f>IF(OR(G205="Renewed",G205=""),0,IF(TODAY()&gt;F205,TODAY()-F205,0))</f>
        <v/>
      </c>
      <c r="I205" s="146" t="n"/>
      <c r="J205" s="146" t="n"/>
      <c r="K205" s="83" t="n"/>
      <c r="L205" s="140">
        <f>IF(AND(G205&lt;&gt;"Renewed",F205&lt;&gt;"",F205&gt;=TODAY()),SUMPRODUCT(($G$5:$G$304&lt;&gt;"Renewed")*($F$5:$F$304&lt;&gt;"")*($F$5:$F$304&gt;=TODAY())*($F$5:$F$304&lt;F205))+SUMPRODUCT(($G$5:$G$304&lt;&gt;"Renewed")*($F$5:$F$304=F205)*(ROW($F$5:$F$304)&lt;ROW(F205)))+1,"")</f>
        <v/>
      </c>
      <c r="M205" s="140">
        <f>IF(H205&gt;0,SUMPRODUCT(($H$5:$H$304&gt;H205))+SUMPRODUCT(($H$5:$H$304=H205)*(ROW($H$5:$H$304)&lt;ROW(H205)))+1,"")</f>
        <v/>
      </c>
      <c r="N205" s="140">
        <f>IF(F205&lt;&gt;"",SUMPRODUCT(($F$5:$F$304=F205)*(ROW($F$5:$F$304)&lt;ROW(F205)))+1,"")</f>
        <v/>
      </c>
      <c r="O205" s="140">
        <f>IF(F205&lt;&gt;"",TEXT(F205,"yyyymmdd")&amp;"-"&amp;N205,"")</f>
        <v/>
      </c>
    </row>
    <row r="206" ht="15" customHeight="1" s="82">
      <c r="A206" s="83" t="n"/>
      <c r="B206" s="144">
        <f>IF(C206="","","POL-"&amp;TEXT(ROW()-4,"0000"))</f>
        <v/>
      </c>
      <c r="C206" s="144" t="n"/>
      <c r="D206" s="144" t="n"/>
      <c r="E206" s="144" t="n"/>
      <c r="F206" s="145" t="n"/>
      <c r="G206" s="144" t="n"/>
      <c r="H206" s="143">
        <f>IF(OR(G206="Renewed",G206=""),0,IF(TODAY()&gt;F206,TODAY()-F206,0))</f>
        <v/>
      </c>
      <c r="I206" s="144" t="n"/>
      <c r="J206" s="144" t="n"/>
      <c r="K206" s="83" t="n"/>
      <c r="L206" s="140">
        <f>IF(AND(G206&lt;&gt;"Renewed",F206&lt;&gt;"",F206&gt;=TODAY()),SUMPRODUCT(($G$5:$G$304&lt;&gt;"Renewed")*($F$5:$F$304&lt;&gt;"")*($F$5:$F$304&gt;=TODAY())*($F$5:$F$304&lt;F206))+SUMPRODUCT(($G$5:$G$304&lt;&gt;"Renewed")*($F$5:$F$304=F206)*(ROW($F$5:$F$304)&lt;ROW(F206)))+1,"")</f>
        <v/>
      </c>
      <c r="M206" s="140">
        <f>IF(H206&gt;0,SUMPRODUCT(($H$5:$H$304&gt;H206))+SUMPRODUCT(($H$5:$H$304=H206)*(ROW($H$5:$H$304)&lt;ROW(H206)))+1,"")</f>
        <v/>
      </c>
      <c r="N206" s="140">
        <f>IF(F206&lt;&gt;"",SUMPRODUCT(($F$5:$F$304=F206)*(ROW($F$5:$F$304)&lt;ROW(F206)))+1,"")</f>
        <v/>
      </c>
      <c r="O206" s="140">
        <f>IF(F206&lt;&gt;"",TEXT(F206,"yyyymmdd")&amp;"-"&amp;N206,"")</f>
        <v/>
      </c>
    </row>
    <row r="207" ht="15" customHeight="1" s="82">
      <c r="A207" s="83" t="n"/>
      <c r="B207" s="146">
        <f>IF(C207="","","POL-"&amp;TEXT(ROW()-4,"0000"))</f>
        <v/>
      </c>
      <c r="C207" s="146" t="n"/>
      <c r="D207" s="146" t="n"/>
      <c r="E207" s="146" t="n"/>
      <c r="F207" s="147" t="n"/>
      <c r="G207" s="146" t="n"/>
      <c r="H207" s="139">
        <f>IF(OR(G207="Renewed",G207=""),0,IF(TODAY()&gt;F207,TODAY()-F207,0))</f>
        <v/>
      </c>
      <c r="I207" s="146" t="n"/>
      <c r="J207" s="146" t="n"/>
      <c r="K207" s="83" t="n"/>
      <c r="L207" s="140">
        <f>IF(AND(G207&lt;&gt;"Renewed",F207&lt;&gt;"",F207&gt;=TODAY()),SUMPRODUCT(($G$5:$G$304&lt;&gt;"Renewed")*($F$5:$F$304&lt;&gt;"")*($F$5:$F$304&gt;=TODAY())*($F$5:$F$304&lt;F207))+SUMPRODUCT(($G$5:$G$304&lt;&gt;"Renewed")*($F$5:$F$304=F207)*(ROW($F$5:$F$304)&lt;ROW(F207)))+1,"")</f>
        <v/>
      </c>
      <c r="M207" s="140">
        <f>IF(H207&gt;0,SUMPRODUCT(($H$5:$H$304&gt;H207))+SUMPRODUCT(($H$5:$H$304=H207)*(ROW($H$5:$H$304)&lt;ROW(H207)))+1,"")</f>
        <v/>
      </c>
      <c r="N207" s="140">
        <f>IF(F207&lt;&gt;"",SUMPRODUCT(($F$5:$F$304=F207)*(ROW($F$5:$F$304)&lt;ROW(F207)))+1,"")</f>
        <v/>
      </c>
      <c r="O207" s="140">
        <f>IF(F207&lt;&gt;"",TEXT(F207,"yyyymmdd")&amp;"-"&amp;N207,"")</f>
        <v/>
      </c>
    </row>
    <row r="208" ht="15" customHeight="1" s="82">
      <c r="A208" s="83" t="n"/>
      <c r="B208" s="144">
        <f>IF(C208="","","POL-"&amp;TEXT(ROW()-4,"0000"))</f>
        <v/>
      </c>
      <c r="C208" s="144" t="n"/>
      <c r="D208" s="144" t="n"/>
      <c r="E208" s="144" t="n"/>
      <c r="F208" s="145" t="n"/>
      <c r="G208" s="144" t="n"/>
      <c r="H208" s="143">
        <f>IF(OR(G208="Renewed",G208=""),0,IF(TODAY()&gt;F208,TODAY()-F208,0))</f>
        <v/>
      </c>
      <c r="I208" s="144" t="n"/>
      <c r="J208" s="144" t="n"/>
      <c r="K208" s="83" t="n"/>
      <c r="L208" s="140">
        <f>IF(AND(G208&lt;&gt;"Renewed",F208&lt;&gt;"",F208&gt;=TODAY()),SUMPRODUCT(($G$5:$G$304&lt;&gt;"Renewed")*($F$5:$F$304&lt;&gt;"")*($F$5:$F$304&gt;=TODAY())*($F$5:$F$304&lt;F208))+SUMPRODUCT(($G$5:$G$304&lt;&gt;"Renewed")*($F$5:$F$304=F208)*(ROW($F$5:$F$304)&lt;ROW(F208)))+1,"")</f>
        <v/>
      </c>
      <c r="M208" s="140">
        <f>IF(H208&gt;0,SUMPRODUCT(($H$5:$H$304&gt;H208))+SUMPRODUCT(($H$5:$H$304=H208)*(ROW($H$5:$H$304)&lt;ROW(H208)))+1,"")</f>
        <v/>
      </c>
      <c r="N208" s="140">
        <f>IF(F208&lt;&gt;"",SUMPRODUCT(($F$5:$F$304=F208)*(ROW($F$5:$F$304)&lt;ROW(F208)))+1,"")</f>
        <v/>
      </c>
      <c r="O208" s="140">
        <f>IF(F208&lt;&gt;"",TEXT(F208,"yyyymmdd")&amp;"-"&amp;N208,"")</f>
        <v/>
      </c>
    </row>
    <row r="209" ht="15" customHeight="1" s="82">
      <c r="A209" s="83" t="n"/>
      <c r="B209" s="146">
        <f>IF(C209="","","POL-"&amp;TEXT(ROW()-4,"0000"))</f>
        <v/>
      </c>
      <c r="C209" s="146" t="n"/>
      <c r="D209" s="146" t="n"/>
      <c r="E209" s="146" t="n"/>
      <c r="F209" s="147" t="n"/>
      <c r="G209" s="146" t="n"/>
      <c r="H209" s="139">
        <f>IF(OR(G209="Renewed",G209=""),0,IF(TODAY()&gt;F209,TODAY()-F209,0))</f>
        <v/>
      </c>
      <c r="I209" s="146" t="n"/>
      <c r="J209" s="146" t="n"/>
      <c r="K209" s="83" t="n"/>
      <c r="L209" s="140">
        <f>IF(AND(G209&lt;&gt;"Renewed",F209&lt;&gt;"",F209&gt;=TODAY()),SUMPRODUCT(($G$5:$G$304&lt;&gt;"Renewed")*($F$5:$F$304&lt;&gt;"")*($F$5:$F$304&gt;=TODAY())*($F$5:$F$304&lt;F209))+SUMPRODUCT(($G$5:$G$304&lt;&gt;"Renewed")*($F$5:$F$304=F209)*(ROW($F$5:$F$304)&lt;ROW(F209)))+1,"")</f>
        <v/>
      </c>
      <c r="M209" s="140">
        <f>IF(H209&gt;0,SUMPRODUCT(($H$5:$H$304&gt;H209))+SUMPRODUCT(($H$5:$H$304=H209)*(ROW($H$5:$H$304)&lt;ROW(H209)))+1,"")</f>
        <v/>
      </c>
      <c r="N209" s="140">
        <f>IF(F209&lt;&gt;"",SUMPRODUCT(($F$5:$F$304=F209)*(ROW($F$5:$F$304)&lt;ROW(F209)))+1,"")</f>
        <v/>
      </c>
      <c r="O209" s="140">
        <f>IF(F209&lt;&gt;"",TEXT(F209,"yyyymmdd")&amp;"-"&amp;N209,"")</f>
        <v/>
      </c>
    </row>
    <row r="210" ht="15" customHeight="1" s="82">
      <c r="A210" s="83" t="n"/>
      <c r="B210" s="144">
        <f>IF(C210="","","POL-"&amp;TEXT(ROW()-4,"0000"))</f>
        <v/>
      </c>
      <c r="C210" s="144" t="n"/>
      <c r="D210" s="144" t="n"/>
      <c r="E210" s="144" t="n"/>
      <c r="F210" s="145" t="n"/>
      <c r="G210" s="144" t="n"/>
      <c r="H210" s="143">
        <f>IF(OR(G210="Renewed",G210=""),0,IF(TODAY()&gt;F210,TODAY()-F210,0))</f>
        <v/>
      </c>
      <c r="I210" s="144" t="n"/>
      <c r="J210" s="144" t="n"/>
      <c r="K210" s="83" t="n"/>
      <c r="L210" s="140">
        <f>IF(AND(G210&lt;&gt;"Renewed",F210&lt;&gt;"",F210&gt;=TODAY()),SUMPRODUCT(($G$5:$G$304&lt;&gt;"Renewed")*($F$5:$F$304&lt;&gt;"")*($F$5:$F$304&gt;=TODAY())*($F$5:$F$304&lt;F210))+SUMPRODUCT(($G$5:$G$304&lt;&gt;"Renewed")*($F$5:$F$304=F210)*(ROW($F$5:$F$304)&lt;ROW(F210)))+1,"")</f>
        <v/>
      </c>
      <c r="M210" s="140">
        <f>IF(H210&gt;0,SUMPRODUCT(($H$5:$H$304&gt;H210))+SUMPRODUCT(($H$5:$H$304=H210)*(ROW($H$5:$H$304)&lt;ROW(H210)))+1,"")</f>
        <v/>
      </c>
      <c r="N210" s="140">
        <f>IF(F210&lt;&gt;"",SUMPRODUCT(($F$5:$F$304=F210)*(ROW($F$5:$F$304)&lt;ROW(F210)))+1,"")</f>
        <v/>
      </c>
      <c r="O210" s="140">
        <f>IF(F210&lt;&gt;"",TEXT(F210,"yyyymmdd")&amp;"-"&amp;N210,"")</f>
        <v/>
      </c>
    </row>
    <row r="211" ht="15" customHeight="1" s="82">
      <c r="A211" s="83" t="n"/>
      <c r="B211" s="146">
        <f>IF(C211="","","POL-"&amp;TEXT(ROW()-4,"0000"))</f>
        <v/>
      </c>
      <c r="C211" s="146" t="n"/>
      <c r="D211" s="146" t="n"/>
      <c r="E211" s="146" t="n"/>
      <c r="F211" s="147" t="n"/>
      <c r="G211" s="146" t="n"/>
      <c r="H211" s="139">
        <f>IF(OR(G211="Renewed",G211=""),0,IF(TODAY()&gt;F211,TODAY()-F211,0))</f>
        <v/>
      </c>
      <c r="I211" s="146" t="n"/>
      <c r="J211" s="146" t="n"/>
      <c r="K211" s="83" t="n"/>
      <c r="L211" s="140">
        <f>IF(AND(G211&lt;&gt;"Renewed",F211&lt;&gt;"",F211&gt;=TODAY()),SUMPRODUCT(($G$5:$G$304&lt;&gt;"Renewed")*($F$5:$F$304&lt;&gt;"")*($F$5:$F$304&gt;=TODAY())*($F$5:$F$304&lt;F211))+SUMPRODUCT(($G$5:$G$304&lt;&gt;"Renewed")*($F$5:$F$304=F211)*(ROW($F$5:$F$304)&lt;ROW(F211)))+1,"")</f>
        <v/>
      </c>
      <c r="M211" s="140">
        <f>IF(H211&gt;0,SUMPRODUCT(($H$5:$H$304&gt;H211))+SUMPRODUCT(($H$5:$H$304=H211)*(ROW($H$5:$H$304)&lt;ROW(H211)))+1,"")</f>
        <v/>
      </c>
      <c r="N211" s="140">
        <f>IF(F211&lt;&gt;"",SUMPRODUCT(($F$5:$F$304=F211)*(ROW($F$5:$F$304)&lt;ROW(F211)))+1,"")</f>
        <v/>
      </c>
      <c r="O211" s="140">
        <f>IF(F211&lt;&gt;"",TEXT(F211,"yyyymmdd")&amp;"-"&amp;N211,"")</f>
        <v/>
      </c>
    </row>
    <row r="212" ht="15" customHeight="1" s="82">
      <c r="A212" s="83" t="n"/>
      <c r="B212" s="144">
        <f>IF(C212="","","POL-"&amp;TEXT(ROW()-4,"0000"))</f>
        <v/>
      </c>
      <c r="C212" s="144" t="n"/>
      <c r="D212" s="144" t="n"/>
      <c r="E212" s="144" t="n"/>
      <c r="F212" s="145" t="n"/>
      <c r="G212" s="144" t="n"/>
      <c r="H212" s="143">
        <f>IF(OR(G212="Renewed",G212=""),0,IF(TODAY()&gt;F212,TODAY()-F212,0))</f>
        <v/>
      </c>
      <c r="I212" s="144" t="n"/>
      <c r="J212" s="144" t="n"/>
      <c r="K212" s="83" t="n"/>
      <c r="L212" s="140">
        <f>IF(AND(G212&lt;&gt;"Renewed",F212&lt;&gt;"",F212&gt;=TODAY()),SUMPRODUCT(($G$5:$G$304&lt;&gt;"Renewed")*($F$5:$F$304&lt;&gt;"")*($F$5:$F$304&gt;=TODAY())*($F$5:$F$304&lt;F212))+SUMPRODUCT(($G$5:$G$304&lt;&gt;"Renewed")*($F$5:$F$304=F212)*(ROW($F$5:$F$304)&lt;ROW(F212)))+1,"")</f>
        <v/>
      </c>
      <c r="M212" s="140">
        <f>IF(H212&gt;0,SUMPRODUCT(($H$5:$H$304&gt;H212))+SUMPRODUCT(($H$5:$H$304=H212)*(ROW($H$5:$H$304)&lt;ROW(H212)))+1,"")</f>
        <v/>
      </c>
      <c r="N212" s="140">
        <f>IF(F212&lt;&gt;"",SUMPRODUCT(($F$5:$F$304=F212)*(ROW($F$5:$F$304)&lt;ROW(F212)))+1,"")</f>
        <v/>
      </c>
      <c r="O212" s="140">
        <f>IF(F212&lt;&gt;"",TEXT(F212,"yyyymmdd")&amp;"-"&amp;N212,"")</f>
        <v/>
      </c>
    </row>
    <row r="213" ht="15" customHeight="1" s="82">
      <c r="A213" s="83" t="n"/>
      <c r="B213" s="146">
        <f>IF(C213="","","POL-"&amp;TEXT(ROW()-4,"0000"))</f>
        <v/>
      </c>
      <c r="C213" s="146" t="n"/>
      <c r="D213" s="146" t="n"/>
      <c r="E213" s="146" t="n"/>
      <c r="F213" s="147" t="n"/>
      <c r="G213" s="146" t="n"/>
      <c r="H213" s="139">
        <f>IF(OR(G213="Renewed",G213=""),0,IF(TODAY()&gt;F213,TODAY()-F213,0))</f>
        <v/>
      </c>
      <c r="I213" s="146" t="n"/>
      <c r="J213" s="146" t="n"/>
      <c r="K213" s="83" t="n"/>
      <c r="L213" s="140">
        <f>IF(AND(G213&lt;&gt;"Renewed",F213&lt;&gt;"",F213&gt;=TODAY()),SUMPRODUCT(($G$5:$G$304&lt;&gt;"Renewed")*($F$5:$F$304&lt;&gt;"")*($F$5:$F$304&gt;=TODAY())*($F$5:$F$304&lt;F213))+SUMPRODUCT(($G$5:$G$304&lt;&gt;"Renewed")*($F$5:$F$304=F213)*(ROW($F$5:$F$304)&lt;ROW(F213)))+1,"")</f>
        <v/>
      </c>
      <c r="M213" s="140">
        <f>IF(H213&gt;0,SUMPRODUCT(($H$5:$H$304&gt;H213))+SUMPRODUCT(($H$5:$H$304=H213)*(ROW($H$5:$H$304)&lt;ROW(H213)))+1,"")</f>
        <v/>
      </c>
      <c r="N213" s="140">
        <f>IF(F213&lt;&gt;"",SUMPRODUCT(($F$5:$F$304=F213)*(ROW($F$5:$F$304)&lt;ROW(F213)))+1,"")</f>
        <v/>
      </c>
      <c r="O213" s="140">
        <f>IF(F213&lt;&gt;"",TEXT(F213,"yyyymmdd")&amp;"-"&amp;N213,"")</f>
        <v/>
      </c>
    </row>
    <row r="214" ht="15" customHeight="1" s="82">
      <c r="A214" s="83" t="n"/>
      <c r="B214" s="144">
        <f>IF(C214="","","POL-"&amp;TEXT(ROW()-4,"0000"))</f>
        <v/>
      </c>
      <c r="C214" s="144" t="n"/>
      <c r="D214" s="144" t="n"/>
      <c r="E214" s="144" t="n"/>
      <c r="F214" s="145" t="n"/>
      <c r="G214" s="144" t="n"/>
      <c r="H214" s="143">
        <f>IF(OR(G214="Renewed",G214=""),0,IF(TODAY()&gt;F214,TODAY()-F214,0))</f>
        <v/>
      </c>
      <c r="I214" s="144" t="n"/>
      <c r="J214" s="144" t="n"/>
      <c r="K214" s="83" t="n"/>
      <c r="L214" s="140">
        <f>IF(AND(G214&lt;&gt;"Renewed",F214&lt;&gt;"",F214&gt;=TODAY()),SUMPRODUCT(($G$5:$G$304&lt;&gt;"Renewed")*($F$5:$F$304&lt;&gt;"")*($F$5:$F$304&gt;=TODAY())*($F$5:$F$304&lt;F214))+SUMPRODUCT(($G$5:$G$304&lt;&gt;"Renewed")*($F$5:$F$304=F214)*(ROW($F$5:$F$304)&lt;ROW(F214)))+1,"")</f>
        <v/>
      </c>
      <c r="M214" s="140">
        <f>IF(H214&gt;0,SUMPRODUCT(($H$5:$H$304&gt;H214))+SUMPRODUCT(($H$5:$H$304=H214)*(ROW($H$5:$H$304)&lt;ROW(H214)))+1,"")</f>
        <v/>
      </c>
      <c r="N214" s="140">
        <f>IF(F214&lt;&gt;"",SUMPRODUCT(($F$5:$F$304=F214)*(ROW($F$5:$F$304)&lt;ROW(F214)))+1,"")</f>
        <v/>
      </c>
      <c r="O214" s="140">
        <f>IF(F214&lt;&gt;"",TEXT(F214,"yyyymmdd")&amp;"-"&amp;N214,"")</f>
        <v/>
      </c>
    </row>
    <row r="215" ht="15" customHeight="1" s="82">
      <c r="A215" s="83" t="n"/>
      <c r="B215" s="146">
        <f>IF(C215="","","POL-"&amp;TEXT(ROW()-4,"0000"))</f>
        <v/>
      </c>
      <c r="C215" s="146" t="n"/>
      <c r="D215" s="146" t="n"/>
      <c r="E215" s="146" t="n"/>
      <c r="F215" s="147" t="n"/>
      <c r="G215" s="146" t="n"/>
      <c r="H215" s="139">
        <f>IF(OR(G215="Renewed",G215=""),0,IF(TODAY()&gt;F215,TODAY()-F215,0))</f>
        <v/>
      </c>
      <c r="I215" s="146" t="n"/>
      <c r="J215" s="146" t="n"/>
      <c r="K215" s="83" t="n"/>
      <c r="L215" s="140">
        <f>IF(AND(G215&lt;&gt;"Renewed",F215&lt;&gt;"",F215&gt;=TODAY()),SUMPRODUCT(($G$5:$G$304&lt;&gt;"Renewed")*($F$5:$F$304&lt;&gt;"")*($F$5:$F$304&gt;=TODAY())*($F$5:$F$304&lt;F215))+SUMPRODUCT(($G$5:$G$304&lt;&gt;"Renewed")*($F$5:$F$304=F215)*(ROW($F$5:$F$304)&lt;ROW(F215)))+1,"")</f>
        <v/>
      </c>
      <c r="M215" s="140">
        <f>IF(H215&gt;0,SUMPRODUCT(($H$5:$H$304&gt;H215))+SUMPRODUCT(($H$5:$H$304=H215)*(ROW($H$5:$H$304)&lt;ROW(H215)))+1,"")</f>
        <v/>
      </c>
      <c r="N215" s="140">
        <f>IF(F215&lt;&gt;"",SUMPRODUCT(($F$5:$F$304=F215)*(ROW($F$5:$F$304)&lt;ROW(F215)))+1,"")</f>
        <v/>
      </c>
      <c r="O215" s="140">
        <f>IF(F215&lt;&gt;"",TEXT(F215,"yyyymmdd")&amp;"-"&amp;N215,"")</f>
        <v/>
      </c>
    </row>
    <row r="216" ht="15" customHeight="1" s="82">
      <c r="A216" s="83" t="n"/>
      <c r="B216" s="144">
        <f>IF(C216="","","POL-"&amp;TEXT(ROW()-4,"0000"))</f>
        <v/>
      </c>
      <c r="C216" s="144" t="n"/>
      <c r="D216" s="144" t="n"/>
      <c r="E216" s="144" t="n"/>
      <c r="F216" s="145" t="n"/>
      <c r="G216" s="144" t="n"/>
      <c r="H216" s="143">
        <f>IF(OR(G216="Renewed",G216=""),0,IF(TODAY()&gt;F216,TODAY()-F216,0))</f>
        <v/>
      </c>
      <c r="I216" s="144" t="n"/>
      <c r="J216" s="144" t="n"/>
      <c r="K216" s="83" t="n"/>
      <c r="L216" s="140">
        <f>IF(AND(G216&lt;&gt;"Renewed",F216&lt;&gt;"",F216&gt;=TODAY()),SUMPRODUCT(($G$5:$G$304&lt;&gt;"Renewed")*($F$5:$F$304&lt;&gt;"")*($F$5:$F$304&gt;=TODAY())*($F$5:$F$304&lt;F216))+SUMPRODUCT(($G$5:$G$304&lt;&gt;"Renewed")*($F$5:$F$304=F216)*(ROW($F$5:$F$304)&lt;ROW(F216)))+1,"")</f>
        <v/>
      </c>
      <c r="M216" s="140">
        <f>IF(H216&gt;0,SUMPRODUCT(($H$5:$H$304&gt;H216))+SUMPRODUCT(($H$5:$H$304=H216)*(ROW($H$5:$H$304)&lt;ROW(H216)))+1,"")</f>
        <v/>
      </c>
      <c r="N216" s="140">
        <f>IF(F216&lt;&gt;"",SUMPRODUCT(($F$5:$F$304=F216)*(ROW($F$5:$F$304)&lt;ROW(F216)))+1,"")</f>
        <v/>
      </c>
      <c r="O216" s="140">
        <f>IF(F216&lt;&gt;"",TEXT(F216,"yyyymmdd")&amp;"-"&amp;N216,"")</f>
        <v/>
      </c>
    </row>
    <row r="217" ht="15" customHeight="1" s="82">
      <c r="A217" s="83" t="n"/>
      <c r="B217" s="146">
        <f>IF(C217="","","POL-"&amp;TEXT(ROW()-4,"0000"))</f>
        <v/>
      </c>
      <c r="C217" s="146" t="n"/>
      <c r="D217" s="146" t="n"/>
      <c r="E217" s="146" t="n"/>
      <c r="F217" s="147" t="n"/>
      <c r="G217" s="146" t="n"/>
      <c r="H217" s="139">
        <f>IF(OR(G217="Renewed",G217=""),0,IF(TODAY()&gt;F217,TODAY()-F217,0))</f>
        <v/>
      </c>
      <c r="I217" s="146" t="n"/>
      <c r="J217" s="146" t="n"/>
      <c r="K217" s="83" t="n"/>
      <c r="L217" s="140">
        <f>IF(AND(G217&lt;&gt;"Renewed",F217&lt;&gt;"",F217&gt;=TODAY()),SUMPRODUCT(($G$5:$G$304&lt;&gt;"Renewed")*($F$5:$F$304&lt;&gt;"")*($F$5:$F$304&gt;=TODAY())*($F$5:$F$304&lt;F217))+SUMPRODUCT(($G$5:$G$304&lt;&gt;"Renewed")*($F$5:$F$304=F217)*(ROW($F$5:$F$304)&lt;ROW(F217)))+1,"")</f>
        <v/>
      </c>
      <c r="M217" s="140">
        <f>IF(H217&gt;0,SUMPRODUCT(($H$5:$H$304&gt;H217))+SUMPRODUCT(($H$5:$H$304=H217)*(ROW($H$5:$H$304)&lt;ROW(H217)))+1,"")</f>
        <v/>
      </c>
      <c r="N217" s="140">
        <f>IF(F217&lt;&gt;"",SUMPRODUCT(($F$5:$F$304=F217)*(ROW($F$5:$F$304)&lt;ROW(F217)))+1,"")</f>
        <v/>
      </c>
      <c r="O217" s="140">
        <f>IF(F217&lt;&gt;"",TEXT(F217,"yyyymmdd")&amp;"-"&amp;N217,"")</f>
        <v/>
      </c>
    </row>
    <row r="218" ht="15" customHeight="1" s="82">
      <c r="A218" s="83" t="n"/>
      <c r="B218" s="144">
        <f>IF(C218="","","POL-"&amp;TEXT(ROW()-4,"0000"))</f>
        <v/>
      </c>
      <c r="C218" s="144" t="n"/>
      <c r="D218" s="144" t="n"/>
      <c r="E218" s="144" t="n"/>
      <c r="F218" s="145" t="n"/>
      <c r="G218" s="144" t="n"/>
      <c r="H218" s="143">
        <f>IF(OR(G218="Renewed",G218=""),0,IF(TODAY()&gt;F218,TODAY()-F218,0))</f>
        <v/>
      </c>
      <c r="I218" s="144" t="n"/>
      <c r="J218" s="144" t="n"/>
      <c r="K218" s="83" t="n"/>
      <c r="L218" s="140">
        <f>IF(AND(G218&lt;&gt;"Renewed",F218&lt;&gt;"",F218&gt;=TODAY()),SUMPRODUCT(($G$5:$G$304&lt;&gt;"Renewed")*($F$5:$F$304&lt;&gt;"")*($F$5:$F$304&gt;=TODAY())*($F$5:$F$304&lt;F218))+SUMPRODUCT(($G$5:$G$304&lt;&gt;"Renewed")*($F$5:$F$304=F218)*(ROW($F$5:$F$304)&lt;ROW(F218)))+1,"")</f>
        <v/>
      </c>
      <c r="M218" s="140">
        <f>IF(H218&gt;0,SUMPRODUCT(($H$5:$H$304&gt;H218))+SUMPRODUCT(($H$5:$H$304=H218)*(ROW($H$5:$H$304)&lt;ROW(H218)))+1,"")</f>
        <v/>
      </c>
      <c r="N218" s="140">
        <f>IF(F218&lt;&gt;"",SUMPRODUCT(($F$5:$F$304=F218)*(ROW($F$5:$F$304)&lt;ROW(F218)))+1,"")</f>
        <v/>
      </c>
      <c r="O218" s="140">
        <f>IF(F218&lt;&gt;"",TEXT(F218,"yyyymmdd")&amp;"-"&amp;N218,"")</f>
        <v/>
      </c>
    </row>
    <row r="219" ht="15" customHeight="1" s="82">
      <c r="A219" s="83" t="n"/>
      <c r="B219" s="146">
        <f>IF(C219="","","POL-"&amp;TEXT(ROW()-4,"0000"))</f>
        <v/>
      </c>
      <c r="C219" s="146" t="n"/>
      <c r="D219" s="146" t="n"/>
      <c r="E219" s="146" t="n"/>
      <c r="F219" s="147" t="n"/>
      <c r="G219" s="146" t="n"/>
      <c r="H219" s="139">
        <f>IF(OR(G219="Renewed",G219=""),0,IF(TODAY()&gt;F219,TODAY()-F219,0))</f>
        <v/>
      </c>
      <c r="I219" s="146" t="n"/>
      <c r="J219" s="146" t="n"/>
      <c r="K219" s="83" t="n"/>
      <c r="L219" s="140">
        <f>IF(AND(G219&lt;&gt;"Renewed",F219&lt;&gt;"",F219&gt;=TODAY()),SUMPRODUCT(($G$5:$G$304&lt;&gt;"Renewed")*($F$5:$F$304&lt;&gt;"")*($F$5:$F$304&gt;=TODAY())*($F$5:$F$304&lt;F219))+SUMPRODUCT(($G$5:$G$304&lt;&gt;"Renewed")*($F$5:$F$304=F219)*(ROW($F$5:$F$304)&lt;ROW(F219)))+1,"")</f>
        <v/>
      </c>
      <c r="M219" s="140">
        <f>IF(H219&gt;0,SUMPRODUCT(($H$5:$H$304&gt;H219))+SUMPRODUCT(($H$5:$H$304=H219)*(ROW($H$5:$H$304)&lt;ROW(H219)))+1,"")</f>
        <v/>
      </c>
      <c r="N219" s="140">
        <f>IF(F219&lt;&gt;"",SUMPRODUCT(($F$5:$F$304=F219)*(ROW($F$5:$F$304)&lt;ROW(F219)))+1,"")</f>
        <v/>
      </c>
      <c r="O219" s="140">
        <f>IF(F219&lt;&gt;"",TEXT(F219,"yyyymmdd")&amp;"-"&amp;N219,"")</f>
        <v/>
      </c>
    </row>
    <row r="220" ht="15" customHeight="1" s="82">
      <c r="A220" s="83" t="n"/>
      <c r="B220" s="144">
        <f>IF(C220="","","POL-"&amp;TEXT(ROW()-4,"0000"))</f>
        <v/>
      </c>
      <c r="C220" s="144" t="n"/>
      <c r="D220" s="144" t="n"/>
      <c r="E220" s="144" t="n"/>
      <c r="F220" s="145" t="n"/>
      <c r="G220" s="144" t="n"/>
      <c r="H220" s="143">
        <f>IF(OR(G220="Renewed",G220=""),0,IF(TODAY()&gt;F220,TODAY()-F220,0))</f>
        <v/>
      </c>
      <c r="I220" s="144" t="n"/>
      <c r="J220" s="144" t="n"/>
      <c r="K220" s="83" t="n"/>
      <c r="L220" s="140">
        <f>IF(AND(G220&lt;&gt;"Renewed",F220&lt;&gt;"",F220&gt;=TODAY()),SUMPRODUCT(($G$5:$G$304&lt;&gt;"Renewed")*($F$5:$F$304&lt;&gt;"")*($F$5:$F$304&gt;=TODAY())*($F$5:$F$304&lt;F220))+SUMPRODUCT(($G$5:$G$304&lt;&gt;"Renewed")*($F$5:$F$304=F220)*(ROW($F$5:$F$304)&lt;ROW(F220)))+1,"")</f>
        <v/>
      </c>
      <c r="M220" s="140">
        <f>IF(H220&gt;0,SUMPRODUCT(($H$5:$H$304&gt;H220))+SUMPRODUCT(($H$5:$H$304=H220)*(ROW($H$5:$H$304)&lt;ROW(H220)))+1,"")</f>
        <v/>
      </c>
      <c r="N220" s="140">
        <f>IF(F220&lt;&gt;"",SUMPRODUCT(($F$5:$F$304=F220)*(ROW($F$5:$F$304)&lt;ROW(F220)))+1,"")</f>
        <v/>
      </c>
      <c r="O220" s="140">
        <f>IF(F220&lt;&gt;"",TEXT(F220,"yyyymmdd")&amp;"-"&amp;N220,"")</f>
        <v/>
      </c>
    </row>
    <row r="221" ht="15" customHeight="1" s="82">
      <c r="A221" s="83" t="n"/>
      <c r="B221" s="146">
        <f>IF(C221="","","POL-"&amp;TEXT(ROW()-4,"0000"))</f>
        <v/>
      </c>
      <c r="C221" s="146" t="n"/>
      <c r="D221" s="146" t="n"/>
      <c r="E221" s="146" t="n"/>
      <c r="F221" s="147" t="n"/>
      <c r="G221" s="146" t="n"/>
      <c r="H221" s="139">
        <f>IF(OR(G221="Renewed",G221=""),0,IF(TODAY()&gt;F221,TODAY()-F221,0))</f>
        <v/>
      </c>
      <c r="I221" s="146" t="n"/>
      <c r="J221" s="146" t="n"/>
      <c r="K221" s="83" t="n"/>
      <c r="L221" s="140">
        <f>IF(AND(G221&lt;&gt;"Renewed",F221&lt;&gt;"",F221&gt;=TODAY()),SUMPRODUCT(($G$5:$G$304&lt;&gt;"Renewed")*($F$5:$F$304&lt;&gt;"")*($F$5:$F$304&gt;=TODAY())*($F$5:$F$304&lt;F221))+SUMPRODUCT(($G$5:$G$304&lt;&gt;"Renewed")*($F$5:$F$304=F221)*(ROW($F$5:$F$304)&lt;ROW(F221)))+1,"")</f>
        <v/>
      </c>
      <c r="M221" s="140">
        <f>IF(H221&gt;0,SUMPRODUCT(($H$5:$H$304&gt;H221))+SUMPRODUCT(($H$5:$H$304=H221)*(ROW($H$5:$H$304)&lt;ROW(H221)))+1,"")</f>
        <v/>
      </c>
      <c r="N221" s="140">
        <f>IF(F221&lt;&gt;"",SUMPRODUCT(($F$5:$F$304=F221)*(ROW($F$5:$F$304)&lt;ROW(F221)))+1,"")</f>
        <v/>
      </c>
      <c r="O221" s="140">
        <f>IF(F221&lt;&gt;"",TEXT(F221,"yyyymmdd")&amp;"-"&amp;N221,"")</f>
        <v/>
      </c>
    </row>
    <row r="222" ht="15" customHeight="1" s="82">
      <c r="A222" s="83" t="n"/>
      <c r="B222" s="144">
        <f>IF(C222="","","POL-"&amp;TEXT(ROW()-4,"0000"))</f>
        <v/>
      </c>
      <c r="C222" s="144" t="n"/>
      <c r="D222" s="144" t="n"/>
      <c r="E222" s="144" t="n"/>
      <c r="F222" s="145" t="n"/>
      <c r="G222" s="144" t="n"/>
      <c r="H222" s="143">
        <f>IF(OR(G222="Renewed",G222=""),0,IF(TODAY()&gt;F222,TODAY()-F222,0))</f>
        <v/>
      </c>
      <c r="I222" s="144" t="n"/>
      <c r="J222" s="144" t="n"/>
      <c r="K222" s="83" t="n"/>
      <c r="L222" s="140">
        <f>IF(AND(G222&lt;&gt;"Renewed",F222&lt;&gt;"",F222&gt;=TODAY()),SUMPRODUCT(($G$5:$G$304&lt;&gt;"Renewed")*($F$5:$F$304&lt;&gt;"")*($F$5:$F$304&gt;=TODAY())*($F$5:$F$304&lt;F222))+SUMPRODUCT(($G$5:$G$304&lt;&gt;"Renewed")*($F$5:$F$304=F222)*(ROW($F$5:$F$304)&lt;ROW(F222)))+1,"")</f>
        <v/>
      </c>
      <c r="M222" s="140">
        <f>IF(H222&gt;0,SUMPRODUCT(($H$5:$H$304&gt;H222))+SUMPRODUCT(($H$5:$H$304=H222)*(ROW($H$5:$H$304)&lt;ROW(H222)))+1,"")</f>
        <v/>
      </c>
      <c r="N222" s="140">
        <f>IF(F222&lt;&gt;"",SUMPRODUCT(($F$5:$F$304=F222)*(ROW($F$5:$F$304)&lt;ROW(F222)))+1,"")</f>
        <v/>
      </c>
      <c r="O222" s="140">
        <f>IF(F222&lt;&gt;"",TEXT(F222,"yyyymmdd")&amp;"-"&amp;N222,"")</f>
        <v/>
      </c>
    </row>
    <row r="223" ht="15" customHeight="1" s="82">
      <c r="A223" s="83" t="n"/>
      <c r="B223" s="146">
        <f>IF(C223="","","POL-"&amp;TEXT(ROW()-4,"0000"))</f>
        <v/>
      </c>
      <c r="C223" s="146" t="n"/>
      <c r="D223" s="146" t="n"/>
      <c r="E223" s="146" t="n"/>
      <c r="F223" s="147" t="n"/>
      <c r="G223" s="146" t="n"/>
      <c r="H223" s="139">
        <f>IF(OR(G223="Renewed",G223=""),0,IF(TODAY()&gt;F223,TODAY()-F223,0))</f>
        <v/>
      </c>
      <c r="I223" s="146" t="n"/>
      <c r="J223" s="146" t="n"/>
      <c r="K223" s="83" t="n"/>
      <c r="L223" s="140">
        <f>IF(AND(G223&lt;&gt;"Renewed",F223&lt;&gt;"",F223&gt;=TODAY()),SUMPRODUCT(($G$5:$G$304&lt;&gt;"Renewed")*($F$5:$F$304&lt;&gt;"")*($F$5:$F$304&gt;=TODAY())*($F$5:$F$304&lt;F223))+SUMPRODUCT(($G$5:$G$304&lt;&gt;"Renewed")*($F$5:$F$304=F223)*(ROW($F$5:$F$304)&lt;ROW(F223)))+1,"")</f>
        <v/>
      </c>
      <c r="M223" s="140">
        <f>IF(H223&gt;0,SUMPRODUCT(($H$5:$H$304&gt;H223))+SUMPRODUCT(($H$5:$H$304=H223)*(ROW($H$5:$H$304)&lt;ROW(H223)))+1,"")</f>
        <v/>
      </c>
      <c r="N223" s="140">
        <f>IF(F223&lt;&gt;"",SUMPRODUCT(($F$5:$F$304=F223)*(ROW($F$5:$F$304)&lt;ROW(F223)))+1,"")</f>
        <v/>
      </c>
      <c r="O223" s="140">
        <f>IF(F223&lt;&gt;"",TEXT(F223,"yyyymmdd")&amp;"-"&amp;N223,"")</f>
        <v/>
      </c>
    </row>
    <row r="224" ht="15" customHeight="1" s="82">
      <c r="A224" s="83" t="n"/>
      <c r="B224" s="144">
        <f>IF(C224="","","POL-"&amp;TEXT(ROW()-4,"0000"))</f>
        <v/>
      </c>
      <c r="C224" s="144" t="n"/>
      <c r="D224" s="144" t="n"/>
      <c r="E224" s="144" t="n"/>
      <c r="F224" s="145" t="n"/>
      <c r="G224" s="144" t="n"/>
      <c r="H224" s="143">
        <f>IF(OR(G224="Renewed",G224=""),0,IF(TODAY()&gt;F224,TODAY()-F224,0))</f>
        <v/>
      </c>
      <c r="I224" s="144" t="n"/>
      <c r="J224" s="144" t="n"/>
      <c r="K224" s="83" t="n"/>
      <c r="L224" s="140">
        <f>IF(AND(G224&lt;&gt;"Renewed",F224&lt;&gt;"",F224&gt;=TODAY()),SUMPRODUCT(($G$5:$G$304&lt;&gt;"Renewed")*($F$5:$F$304&lt;&gt;"")*($F$5:$F$304&gt;=TODAY())*($F$5:$F$304&lt;F224))+SUMPRODUCT(($G$5:$G$304&lt;&gt;"Renewed")*($F$5:$F$304=F224)*(ROW($F$5:$F$304)&lt;ROW(F224)))+1,"")</f>
        <v/>
      </c>
      <c r="M224" s="140">
        <f>IF(H224&gt;0,SUMPRODUCT(($H$5:$H$304&gt;H224))+SUMPRODUCT(($H$5:$H$304=H224)*(ROW($H$5:$H$304)&lt;ROW(H224)))+1,"")</f>
        <v/>
      </c>
      <c r="N224" s="140">
        <f>IF(F224&lt;&gt;"",SUMPRODUCT(($F$5:$F$304=F224)*(ROW($F$5:$F$304)&lt;ROW(F224)))+1,"")</f>
        <v/>
      </c>
      <c r="O224" s="140">
        <f>IF(F224&lt;&gt;"",TEXT(F224,"yyyymmdd")&amp;"-"&amp;N224,"")</f>
        <v/>
      </c>
    </row>
    <row r="225" ht="15" customHeight="1" s="82">
      <c r="A225" s="83" t="n"/>
      <c r="B225" s="146">
        <f>IF(C225="","","POL-"&amp;TEXT(ROW()-4,"0000"))</f>
        <v/>
      </c>
      <c r="C225" s="146" t="n"/>
      <c r="D225" s="146" t="n"/>
      <c r="E225" s="146" t="n"/>
      <c r="F225" s="147" t="n"/>
      <c r="G225" s="146" t="n"/>
      <c r="H225" s="139">
        <f>IF(OR(G225="Renewed",G225=""),0,IF(TODAY()&gt;F225,TODAY()-F225,0))</f>
        <v/>
      </c>
      <c r="I225" s="146" t="n"/>
      <c r="J225" s="146" t="n"/>
      <c r="K225" s="83" t="n"/>
      <c r="L225" s="140">
        <f>IF(AND(G225&lt;&gt;"Renewed",F225&lt;&gt;"",F225&gt;=TODAY()),SUMPRODUCT(($G$5:$G$304&lt;&gt;"Renewed")*($F$5:$F$304&lt;&gt;"")*($F$5:$F$304&gt;=TODAY())*($F$5:$F$304&lt;F225))+SUMPRODUCT(($G$5:$G$304&lt;&gt;"Renewed")*($F$5:$F$304=F225)*(ROW($F$5:$F$304)&lt;ROW(F225)))+1,"")</f>
        <v/>
      </c>
      <c r="M225" s="140">
        <f>IF(H225&gt;0,SUMPRODUCT(($H$5:$H$304&gt;H225))+SUMPRODUCT(($H$5:$H$304=H225)*(ROW($H$5:$H$304)&lt;ROW(H225)))+1,"")</f>
        <v/>
      </c>
      <c r="N225" s="140">
        <f>IF(F225&lt;&gt;"",SUMPRODUCT(($F$5:$F$304=F225)*(ROW($F$5:$F$304)&lt;ROW(F225)))+1,"")</f>
        <v/>
      </c>
      <c r="O225" s="140">
        <f>IF(F225&lt;&gt;"",TEXT(F225,"yyyymmdd")&amp;"-"&amp;N225,"")</f>
        <v/>
      </c>
    </row>
    <row r="226" ht="15" customHeight="1" s="82">
      <c r="A226" s="83" t="n"/>
      <c r="B226" s="144">
        <f>IF(C226="","","POL-"&amp;TEXT(ROW()-4,"0000"))</f>
        <v/>
      </c>
      <c r="C226" s="144" t="n"/>
      <c r="D226" s="144" t="n"/>
      <c r="E226" s="144" t="n"/>
      <c r="F226" s="145" t="n"/>
      <c r="G226" s="144" t="n"/>
      <c r="H226" s="143">
        <f>IF(OR(G226="Renewed",G226=""),0,IF(TODAY()&gt;F226,TODAY()-F226,0))</f>
        <v/>
      </c>
      <c r="I226" s="144" t="n"/>
      <c r="J226" s="144" t="n"/>
      <c r="K226" s="83" t="n"/>
      <c r="L226" s="140">
        <f>IF(AND(G226&lt;&gt;"Renewed",F226&lt;&gt;"",F226&gt;=TODAY()),SUMPRODUCT(($G$5:$G$304&lt;&gt;"Renewed")*($F$5:$F$304&lt;&gt;"")*($F$5:$F$304&gt;=TODAY())*($F$5:$F$304&lt;F226))+SUMPRODUCT(($G$5:$G$304&lt;&gt;"Renewed")*($F$5:$F$304=F226)*(ROW($F$5:$F$304)&lt;ROW(F226)))+1,"")</f>
        <v/>
      </c>
      <c r="M226" s="140">
        <f>IF(H226&gt;0,SUMPRODUCT(($H$5:$H$304&gt;H226))+SUMPRODUCT(($H$5:$H$304=H226)*(ROW($H$5:$H$304)&lt;ROW(H226)))+1,"")</f>
        <v/>
      </c>
      <c r="N226" s="140">
        <f>IF(F226&lt;&gt;"",SUMPRODUCT(($F$5:$F$304=F226)*(ROW($F$5:$F$304)&lt;ROW(F226)))+1,"")</f>
        <v/>
      </c>
      <c r="O226" s="140">
        <f>IF(F226&lt;&gt;"",TEXT(F226,"yyyymmdd")&amp;"-"&amp;N226,"")</f>
        <v/>
      </c>
    </row>
    <row r="227" ht="15" customHeight="1" s="82">
      <c r="A227" s="83" t="n"/>
      <c r="B227" s="146">
        <f>IF(C227="","","POL-"&amp;TEXT(ROW()-4,"0000"))</f>
        <v/>
      </c>
      <c r="C227" s="146" t="n"/>
      <c r="D227" s="146" t="n"/>
      <c r="E227" s="146" t="n"/>
      <c r="F227" s="147" t="n"/>
      <c r="G227" s="146" t="n"/>
      <c r="H227" s="139">
        <f>IF(OR(G227="Renewed",G227=""),0,IF(TODAY()&gt;F227,TODAY()-F227,0))</f>
        <v/>
      </c>
      <c r="I227" s="146" t="n"/>
      <c r="J227" s="146" t="n"/>
      <c r="K227" s="83" t="n"/>
      <c r="L227" s="140">
        <f>IF(AND(G227&lt;&gt;"Renewed",F227&lt;&gt;"",F227&gt;=TODAY()),SUMPRODUCT(($G$5:$G$304&lt;&gt;"Renewed")*($F$5:$F$304&lt;&gt;"")*($F$5:$F$304&gt;=TODAY())*($F$5:$F$304&lt;F227))+SUMPRODUCT(($G$5:$G$304&lt;&gt;"Renewed")*($F$5:$F$304=F227)*(ROW($F$5:$F$304)&lt;ROW(F227)))+1,"")</f>
        <v/>
      </c>
      <c r="M227" s="140">
        <f>IF(H227&gt;0,SUMPRODUCT(($H$5:$H$304&gt;H227))+SUMPRODUCT(($H$5:$H$304=H227)*(ROW($H$5:$H$304)&lt;ROW(H227)))+1,"")</f>
        <v/>
      </c>
      <c r="N227" s="140">
        <f>IF(F227&lt;&gt;"",SUMPRODUCT(($F$5:$F$304=F227)*(ROW($F$5:$F$304)&lt;ROW(F227)))+1,"")</f>
        <v/>
      </c>
      <c r="O227" s="140">
        <f>IF(F227&lt;&gt;"",TEXT(F227,"yyyymmdd")&amp;"-"&amp;N227,"")</f>
        <v/>
      </c>
    </row>
    <row r="228" ht="15" customHeight="1" s="82">
      <c r="A228" s="83" t="n"/>
      <c r="B228" s="144">
        <f>IF(C228="","","POL-"&amp;TEXT(ROW()-4,"0000"))</f>
        <v/>
      </c>
      <c r="C228" s="144" t="n"/>
      <c r="D228" s="144" t="n"/>
      <c r="E228" s="144" t="n"/>
      <c r="F228" s="145" t="n"/>
      <c r="G228" s="144" t="n"/>
      <c r="H228" s="143">
        <f>IF(OR(G228="Renewed",G228=""),0,IF(TODAY()&gt;F228,TODAY()-F228,0))</f>
        <v/>
      </c>
      <c r="I228" s="144" t="n"/>
      <c r="J228" s="144" t="n"/>
      <c r="K228" s="83" t="n"/>
      <c r="L228" s="140">
        <f>IF(AND(G228&lt;&gt;"Renewed",F228&lt;&gt;"",F228&gt;=TODAY()),SUMPRODUCT(($G$5:$G$304&lt;&gt;"Renewed")*($F$5:$F$304&lt;&gt;"")*($F$5:$F$304&gt;=TODAY())*($F$5:$F$304&lt;F228))+SUMPRODUCT(($G$5:$G$304&lt;&gt;"Renewed")*($F$5:$F$304=F228)*(ROW($F$5:$F$304)&lt;ROW(F228)))+1,"")</f>
        <v/>
      </c>
      <c r="M228" s="140">
        <f>IF(H228&gt;0,SUMPRODUCT(($H$5:$H$304&gt;H228))+SUMPRODUCT(($H$5:$H$304=H228)*(ROW($H$5:$H$304)&lt;ROW(H228)))+1,"")</f>
        <v/>
      </c>
      <c r="N228" s="140">
        <f>IF(F228&lt;&gt;"",SUMPRODUCT(($F$5:$F$304=F228)*(ROW($F$5:$F$304)&lt;ROW(F228)))+1,"")</f>
        <v/>
      </c>
      <c r="O228" s="140">
        <f>IF(F228&lt;&gt;"",TEXT(F228,"yyyymmdd")&amp;"-"&amp;N228,"")</f>
        <v/>
      </c>
    </row>
    <row r="229" ht="15" customHeight="1" s="82">
      <c r="A229" s="83" t="n"/>
      <c r="B229" s="146">
        <f>IF(C229="","","POL-"&amp;TEXT(ROW()-4,"0000"))</f>
        <v/>
      </c>
      <c r="C229" s="146" t="n"/>
      <c r="D229" s="146" t="n"/>
      <c r="E229" s="146" t="n"/>
      <c r="F229" s="147" t="n"/>
      <c r="G229" s="146" t="n"/>
      <c r="H229" s="139">
        <f>IF(OR(G229="Renewed",G229=""),0,IF(TODAY()&gt;F229,TODAY()-F229,0))</f>
        <v/>
      </c>
      <c r="I229" s="146" t="n"/>
      <c r="J229" s="146" t="n"/>
      <c r="K229" s="83" t="n"/>
      <c r="L229" s="140">
        <f>IF(AND(G229&lt;&gt;"Renewed",F229&lt;&gt;"",F229&gt;=TODAY()),SUMPRODUCT(($G$5:$G$304&lt;&gt;"Renewed")*($F$5:$F$304&lt;&gt;"")*($F$5:$F$304&gt;=TODAY())*($F$5:$F$304&lt;F229))+SUMPRODUCT(($G$5:$G$304&lt;&gt;"Renewed")*($F$5:$F$304=F229)*(ROW($F$5:$F$304)&lt;ROW(F229)))+1,"")</f>
        <v/>
      </c>
      <c r="M229" s="140">
        <f>IF(H229&gt;0,SUMPRODUCT(($H$5:$H$304&gt;H229))+SUMPRODUCT(($H$5:$H$304=H229)*(ROW($H$5:$H$304)&lt;ROW(H229)))+1,"")</f>
        <v/>
      </c>
      <c r="N229" s="140">
        <f>IF(F229&lt;&gt;"",SUMPRODUCT(($F$5:$F$304=F229)*(ROW($F$5:$F$304)&lt;ROW(F229)))+1,"")</f>
        <v/>
      </c>
      <c r="O229" s="140">
        <f>IF(F229&lt;&gt;"",TEXT(F229,"yyyymmdd")&amp;"-"&amp;N229,"")</f>
        <v/>
      </c>
    </row>
    <row r="230" ht="15" customHeight="1" s="82">
      <c r="A230" s="83" t="n"/>
      <c r="B230" s="144">
        <f>IF(C230="","","POL-"&amp;TEXT(ROW()-4,"0000"))</f>
        <v/>
      </c>
      <c r="C230" s="144" t="n"/>
      <c r="D230" s="144" t="n"/>
      <c r="E230" s="144" t="n"/>
      <c r="F230" s="145" t="n"/>
      <c r="G230" s="144" t="n"/>
      <c r="H230" s="143">
        <f>IF(OR(G230="Renewed",G230=""),0,IF(TODAY()&gt;F230,TODAY()-F230,0))</f>
        <v/>
      </c>
      <c r="I230" s="144" t="n"/>
      <c r="J230" s="144" t="n"/>
      <c r="K230" s="83" t="n"/>
      <c r="L230" s="140">
        <f>IF(AND(G230&lt;&gt;"Renewed",F230&lt;&gt;"",F230&gt;=TODAY()),SUMPRODUCT(($G$5:$G$304&lt;&gt;"Renewed")*($F$5:$F$304&lt;&gt;"")*($F$5:$F$304&gt;=TODAY())*($F$5:$F$304&lt;F230))+SUMPRODUCT(($G$5:$G$304&lt;&gt;"Renewed")*($F$5:$F$304=F230)*(ROW($F$5:$F$304)&lt;ROW(F230)))+1,"")</f>
        <v/>
      </c>
      <c r="M230" s="140">
        <f>IF(H230&gt;0,SUMPRODUCT(($H$5:$H$304&gt;H230))+SUMPRODUCT(($H$5:$H$304=H230)*(ROW($H$5:$H$304)&lt;ROW(H230)))+1,"")</f>
        <v/>
      </c>
      <c r="N230" s="140">
        <f>IF(F230&lt;&gt;"",SUMPRODUCT(($F$5:$F$304=F230)*(ROW($F$5:$F$304)&lt;ROW(F230)))+1,"")</f>
        <v/>
      </c>
      <c r="O230" s="140">
        <f>IF(F230&lt;&gt;"",TEXT(F230,"yyyymmdd")&amp;"-"&amp;N230,"")</f>
        <v/>
      </c>
    </row>
    <row r="231" ht="15" customHeight="1" s="82">
      <c r="A231" s="83" t="n"/>
      <c r="B231" s="146">
        <f>IF(C231="","","POL-"&amp;TEXT(ROW()-4,"0000"))</f>
        <v/>
      </c>
      <c r="C231" s="146" t="n"/>
      <c r="D231" s="146" t="n"/>
      <c r="E231" s="146" t="n"/>
      <c r="F231" s="147" t="n"/>
      <c r="G231" s="146" t="n"/>
      <c r="H231" s="139">
        <f>IF(OR(G231="Renewed",G231=""),0,IF(TODAY()&gt;F231,TODAY()-F231,0))</f>
        <v/>
      </c>
      <c r="I231" s="146" t="n"/>
      <c r="J231" s="146" t="n"/>
      <c r="K231" s="83" t="n"/>
      <c r="L231" s="140">
        <f>IF(AND(G231&lt;&gt;"Renewed",F231&lt;&gt;"",F231&gt;=TODAY()),SUMPRODUCT(($G$5:$G$304&lt;&gt;"Renewed")*($F$5:$F$304&lt;&gt;"")*($F$5:$F$304&gt;=TODAY())*($F$5:$F$304&lt;F231))+SUMPRODUCT(($G$5:$G$304&lt;&gt;"Renewed")*($F$5:$F$304=F231)*(ROW($F$5:$F$304)&lt;ROW(F231)))+1,"")</f>
        <v/>
      </c>
      <c r="M231" s="140">
        <f>IF(H231&gt;0,SUMPRODUCT(($H$5:$H$304&gt;H231))+SUMPRODUCT(($H$5:$H$304=H231)*(ROW($H$5:$H$304)&lt;ROW(H231)))+1,"")</f>
        <v/>
      </c>
      <c r="N231" s="140">
        <f>IF(F231&lt;&gt;"",SUMPRODUCT(($F$5:$F$304=F231)*(ROW($F$5:$F$304)&lt;ROW(F231)))+1,"")</f>
        <v/>
      </c>
      <c r="O231" s="140">
        <f>IF(F231&lt;&gt;"",TEXT(F231,"yyyymmdd")&amp;"-"&amp;N231,"")</f>
        <v/>
      </c>
    </row>
    <row r="232" ht="15" customHeight="1" s="82">
      <c r="A232" s="83" t="n"/>
      <c r="B232" s="144">
        <f>IF(C232="","","POL-"&amp;TEXT(ROW()-4,"0000"))</f>
        <v/>
      </c>
      <c r="C232" s="144" t="n"/>
      <c r="D232" s="144" t="n"/>
      <c r="E232" s="144" t="n"/>
      <c r="F232" s="145" t="n"/>
      <c r="G232" s="144" t="n"/>
      <c r="H232" s="143">
        <f>IF(OR(G232="Renewed",G232=""),0,IF(TODAY()&gt;F232,TODAY()-F232,0))</f>
        <v/>
      </c>
      <c r="I232" s="144" t="n"/>
      <c r="J232" s="144" t="n"/>
      <c r="K232" s="83" t="n"/>
      <c r="L232" s="140">
        <f>IF(AND(G232&lt;&gt;"Renewed",F232&lt;&gt;"",F232&gt;=TODAY()),SUMPRODUCT(($G$5:$G$304&lt;&gt;"Renewed")*($F$5:$F$304&lt;&gt;"")*($F$5:$F$304&gt;=TODAY())*($F$5:$F$304&lt;F232))+SUMPRODUCT(($G$5:$G$304&lt;&gt;"Renewed")*($F$5:$F$304=F232)*(ROW($F$5:$F$304)&lt;ROW(F232)))+1,"")</f>
        <v/>
      </c>
      <c r="M232" s="140">
        <f>IF(H232&gt;0,SUMPRODUCT(($H$5:$H$304&gt;H232))+SUMPRODUCT(($H$5:$H$304=H232)*(ROW($H$5:$H$304)&lt;ROW(H232)))+1,"")</f>
        <v/>
      </c>
      <c r="N232" s="140">
        <f>IF(F232&lt;&gt;"",SUMPRODUCT(($F$5:$F$304=F232)*(ROW($F$5:$F$304)&lt;ROW(F232)))+1,"")</f>
        <v/>
      </c>
      <c r="O232" s="140">
        <f>IF(F232&lt;&gt;"",TEXT(F232,"yyyymmdd")&amp;"-"&amp;N232,"")</f>
        <v/>
      </c>
    </row>
    <row r="233" ht="15" customHeight="1" s="82">
      <c r="A233" s="83" t="n"/>
      <c r="B233" s="146">
        <f>IF(C233="","","POL-"&amp;TEXT(ROW()-4,"0000"))</f>
        <v/>
      </c>
      <c r="C233" s="146" t="n"/>
      <c r="D233" s="146" t="n"/>
      <c r="E233" s="146" t="n"/>
      <c r="F233" s="147" t="n"/>
      <c r="G233" s="146" t="n"/>
      <c r="H233" s="139">
        <f>IF(OR(G233="Renewed",G233=""),0,IF(TODAY()&gt;F233,TODAY()-F233,0))</f>
        <v/>
      </c>
      <c r="I233" s="146" t="n"/>
      <c r="J233" s="146" t="n"/>
      <c r="K233" s="83" t="n"/>
      <c r="L233" s="140">
        <f>IF(AND(G233&lt;&gt;"Renewed",F233&lt;&gt;"",F233&gt;=TODAY()),SUMPRODUCT(($G$5:$G$304&lt;&gt;"Renewed")*($F$5:$F$304&lt;&gt;"")*($F$5:$F$304&gt;=TODAY())*($F$5:$F$304&lt;F233))+SUMPRODUCT(($G$5:$G$304&lt;&gt;"Renewed")*($F$5:$F$304=F233)*(ROW($F$5:$F$304)&lt;ROW(F233)))+1,"")</f>
        <v/>
      </c>
      <c r="M233" s="140">
        <f>IF(H233&gt;0,SUMPRODUCT(($H$5:$H$304&gt;H233))+SUMPRODUCT(($H$5:$H$304=H233)*(ROW($H$5:$H$304)&lt;ROW(H233)))+1,"")</f>
        <v/>
      </c>
      <c r="N233" s="140">
        <f>IF(F233&lt;&gt;"",SUMPRODUCT(($F$5:$F$304=F233)*(ROW($F$5:$F$304)&lt;ROW(F233)))+1,"")</f>
        <v/>
      </c>
      <c r="O233" s="140">
        <f>IF(F233&lt;&gt;"",TEXT(F233,"yyyymmdd")&amp;"-"&amp;N233,"")</f>
        <v/>
      </c>
    </row>
    <row r="234" ht="15" customHeight="1" s="82">
      <c r="A234" s="83" t="n"/>
      <c r="B234" s="144">
        <f>IF(C234="","","POL-"&amp;TEXT(ROW()-4,"0000"))</f>
        <v/>
      </c>
      <c r="C234" s="144" t="n"/>
      <c r="D234" s="144" t="n"/>
      <c r="E234" s="144" t="n"/>
      <c r="F234" s="145" t="n"/>
      <c r="G234" s="144" t="n"/>
      <c r="H234" s="143">
        <f>IF(OR(G234="Renewed",G234=""),0,IF(TODAY()&gt;F234,TODAY()-F234,0))</f>
        <v/>
      </c>
      <c r="I234" s="144" t="n"/>
      <c r="J234" s="144" t="n"/>
      <c r="K234" s="83" t="n"/>
      <c r="L234" s="140">
        <f>IF(AND(G234&lt;&gt;"Renewed",F234&lt;&gt;"",F234&gt;=TODAY()),SUMPRODUCT(($G$5:$G$304&lt;&gt;"Renewed")*($F$5:$F$304&lt;&gt;"")*($F$5:$F$304&gt;=TODAY())*($F$5:$F$304&lt;F234))+SUMPRODUCT(($G$5:$G$304&lt;&gt;"Renewed")*($F$5:$F$304=F234)*(ROW($F$5:$F$304)&lt;ROW(F234)))+1,"")</f>
        <v/>
      </c>
      <c r="M234" s="140">
        <f>IF(H234&gt;0,SUMPRODUCT(($H$5:$H$304&gt;H234))+SUMPRODUCT(($H$5:$H$304=H234)*(ROW($H$5:$H$304)&lt;ROW(H234)))+1,"")</f>
        <v/>
      </c>
      <c r="N234" s="140">
        <f>IF(F234&lt;&gt;"",SUMPRODUCT(($F$5:$F$304=F234)*(ROW($F$5:$F$304)&lt;ROW(F234)))+1,"")</f>
        <v/>
      </c>
      <c r="O234" s="140">
        <f>IF(F234&lt;&gt;"",TEXT(F234,"yyyymmdd")&amp;"-"&amp;N234,"")</f>
        <v/>
      </c>
    </row>
    <row r="235" ht="15" customHeight="1" s="82">
      <c r="A235" s="83" t="n"/>
      <c r="B235" s="146">
        <f>IF(C235="","","POL-"&amp;TEXT(ROW()-4,"0000"))</f>
        <v/>
      </c>
      <c r="C235" s="146" t="n"/>
      <c r="D235" s="146" t="n"/>
      <c r="E235" s="146" t="n"/>
      <c r="F235" s="147" t="n"/>
      <c r="G235" s="146" t="n"/>
      <c r="H235" s="139">
        <f>IF(OR(G235="Renewed",G235=""),0,IF(TODAY()&gt;F235,TODAY()-F235,0))</f>
        <v/>
      </c>
      <c r="I235" s="146" t="n"/>
      <c r="J235" s="146" t="n"/>
      <c r="K235" s="83" t="n"/>
      <c r="L235" s="140">
        <f>IF(AND(G235&lt;&gt;"Renewed",F235&lt;&gt;"",F235&gt;=TODAY()),SUMPRODUCT(($G$5:$G$304&lt;&gt;"Renewed")*($F$5:$F$304&lt;&gt;"")*($F$5:$F$304&gt;=TODAY())*($F$5:$F$304&lt;F235))+SUMPRODUCT(($G$5:$G$304&lt;&gt;"Renewed")*($F$5:$F$304=F235)*(ROW($F$5:$F$304)&lt;ROW(F235)))+1,"")</f>
        <v/>
      </c>
      <c r="M235" s="140">
        <f>IF(H235&gt;0,SUMPRODUCT(($H$5:$H$304&gt;H235))+SUMPRODUCT(($H$5:$H$304=H235)*(ROW($H$5:$H$304)&lt;ROW(H235)))+1,"")</f>
        <v/>
      </c>
      <c r="N235" s="140">
        <f>IF(F235&lt;&gt;"",SUMPRODUCT(($F$5:$F$304=F235)*(ROW($F$5:$F$304)&lt;ROW(F235)))+1,"")</f>
        <v/>
      </c>
      <c r="O235" s="140">
        <f>IF(F235&lt;&gt;"",TEXT(F235,"yyyymmdd")&amp;"-"&amp;N235,"")</f>
        <v/>
      </c>
    </row>
    <row r="236" ht="15" customHeight="1" s="82">
      <c r="A236" s="83" t="n"/>
      <c r="B236" s="144">
        <f>IF(C236="","","POL-"&amp;TEXT(ROW()-4,"0000"))</f>
        <v/>
      </c>
      <c r="C236" s="144" t="n"/>
      <c r="D236" s="144" t="n"/>
      <c r="E236" s="144" t="n"/>
      <c r="F236" s="145" t="n"/>
      <c r="G236" s="144" t="n"/>
      <c r="H236" s="143">
        <f>IF(OR(G236="Renewed",G236=""),0,IF(TODAY()&gt;F236,TODAY()-F236,0))</f>
        <v/>
      </c>
      <c r="I236" s="144" t="n"/>
      <c r="J236" s="144" t="n"/>
      <c r="K236" s="83" t="n"/>
      <c r="L236" s="140">
        <f>IF(AND(G236&lt;&gt;"Renewed",F236&lt;&gt;"",F236&gt;=TODAY()),SUMPRODUCT(($G$5:$G$304&lt;&gt;"Renewed")*($F$5:$F$304&lt;&gt;"")*($F$5:$F$304&gt;=TODAY())*($F$5:$F$304&lt;F236))+SUMPRODUCT(($G$5:$G$304&lt;&gt;"Renewed")*($F$5:$F$304=F236)*(ROW($F$5:$F$304)&lt;ROW(F236)))+1,"")</f>
        <v/>
      </c>
      <c r="M236" s="140">
        <f>IF(H236&gt;0,SUMPRODUCT(($H$5:$H$304&gt;H236))+SUMPRODUCT(($H$5:$H$304=H236)*(ROW($H$5:$H$304)&lt;ROW(H236)))+1,"")</f>
        <v/>
      </c>
      <c r="N236" s="140">
        <f>IF(F236&lt;&gt;"",SUMPRODUCT(($F$5:$F$304=F236)*(ROW($F$5:$F$304)&lt;ROW(F236)))+1,"")</f>
        <v/>
      </c>
      <c r="O236" s="140">
        <f>IF(F236&lt;&gt;"",TEXT(F236,"yyyymmdd")&amp;"-"&amp;N236,"")</f>
        <v/>
      </c>
    </row>
    <row r="237" ht="15" customHeight="1" s="82">
      <c r="A237" s="83" t="n"/>
      <c r="B237" s="146">
        <f>IF(C237="","","POL-"&amp;TEXT(ROW()-4,"0000"))</f>
        <v/>
      </c>
      <c r="C237" s="146" t="n"/>
      <c r="D237" s="146" t="n"/>
      <c r="E237" s="146" t="n"/>
      <c r="F237" s="147" t="n"/>
      <c r="G237" s="146" t="n"/>
      <c r="H237" s="139">
        <f>IF(OR(G237="Renewed",G237=""),0,IF(TODAY()&gt;F237,TODAY()-F237,0))</f>
        <v/>
      </c>
      <c r="I237" s="146" t="n"/>
      <c r="J237" s="146" t="n"/>
      <c r="K237" s="83" t="n"/>
      <c r="L237" s="140">
        <f>IF(AND(G237&lt;&gt;"Renewed",F237&lt;&gt;"",F237&gt;=TODAY()),SUMPRODUCT(($G$5:$G$304&lt;&gt;"Renewed")*($F$5:$F$304&lt;&gt;"")*($F$5:$F$304&gt;=TODAY())*($F$5:$F$304&lt;F237))+SUMPRODUCT(($G$5:$G$304&lt;&gt;"Renewed")*($F$5:$F$304=F237)*(ROW($F$5:$F$304)&lt;ROW(F237)))+1,"")</f>
        <v/>
      </c>
      <c r="M237" s="140">
        <f>IF(H237&gt;0,SUMPRODUCT(($H$5:$H$304&gt;H237))+SUMPRODUCT(($H$5:$H$304=H237)*(ROW($H$5:$H$304)&lt;ROW(H237)))+1,"")</f>
        <v/>
      </c>
      <c r="N237" s="140">
        <f>IF(F237&lt;&gt;"",SUMPRODUCT(($F$5:$F$304=F237)*(ROW($F$5:$F$304)&lt;ROW(F237)))+1,"")</f>
        <v/>
      </c>
      <c r="O237" s="140">
        <f>IF(F237&lt;&gt;"",TEXT(F237,"yyyymmdd")&amp;"-"&amp;N237,"")</f>
        <v/>
      </c>
    </row>
    <row r="238" ht="15" customHeight="1" s="82">
      <c r="A238" s="83" t="n"/>
      <c r="B238" s="144">
        <f>IF(C238="","","POL-"&amp;TEXT(ROW()-4,"0000"))</f>
        <v/>
      </c>
      <c r="C238" s="144" t="n"/>
      <c r="D238" s="144" t="n"/>
      <c r="E238" s="144" t="n"/>
      <c r="F238" s="145" t="n"/>
      <c r="G238" s="144" t="n"/>
      <c r="H238" s="143">
        <f>IF(OR(G238="Renewed",G238=""),0,IF(TODAY()&gt;F238,TODAY()-F238,0))</f>
        <v/>
      </c>
      <c r="I238" s="144" t="n"/>
      <c r="J238" s="144" t="n"/>
      <c r="K238" s="83" t="n"/>
      <c r="L238" s="140">
        <f>IF(AND(G238&lt;&gt;"Renewed",F238&lt;&gt;"",F238&gt;=TODAY()),SUMPRODUCT(($G$5:$G$304&lt;&gt;"Renewed")*($F$5:$F$304&lt;&gt;"")*($F$5:$F$304&gt;=TODAY())*($F$5:$F$304&lt;F238))+SUMPRODUCT(($G$5:$G$304&lt;&gt;"Renewed")*($F$5:$F$304=F238)*(ROW($F$5:$F$304)&lt;ROW(F238)))+1,"")</f>
        <v/>
      </c>
      <c r="M238" s="140">
        <f>IF(H238&gt;0,SUMPRODUCT(($H$5:$H$304&gt;H238))+SUMPRODUCT(($H$5:$H$304=H238)*(ROW($H$5:$H$304)&lt;ROW(H238)))+1,"")</f>
        <v/>
      </c>
      <c r="N238" s="140">
        <f>IF(F238&lt;&gt;"",SUMPRODUCT(($F$5:$F$304=F238)*(ROW($F$5:$F$304)&lt;ROW(F238)))+1,"")</f>
        <v/>
      </c>
      <c r="O238" s="140">
        <f>IF(F238&lt;&gt;"",TEXT(F238,"yyyymmdd")&amp;"-"&amp;N238,"")</f>
        <v/>
      </c>
    </row>
    <row r="239" ht="15" customHeight="1" s="82">
      <c r="A239" s="83" t="n"/>
      <c r="B239" s="146">
        <f>IF(C239="","","POL-"&amp;TEXT(ROW()-4,"0000"))</f>
        <v/>
      </c>
      <c r="C239" s="146" t="n"/>
      <c r="D239" s="146" t="n"/>
      <c r="E239" s="146" t="n"/>
      <c r="F239" s="147" t="n"/>
      <c r="G239" s="146" t="n"/>
      <c r="H239" s="139">
        <f>IF(OR(G239="Renewed",G239=""),0,IF(TODAY()&gt;F239,TODAY()-F239,0))</f>
        <v/>
      </c>
      <c r="I239" s="146" t="n"/>
      <c r="J239" s="146" t="n"/>
      <c r="K239" s="83" t="n"/>
      <c r="L239" s="140">
        <f>IF(AND(G239&lt;&gt;"Renewed",F239&lt;&gt;"",F239&gt;=TODAY()),SUMPRODUCT(($G$5:$G$304&lt;&gt;"Renewed")*($F$5:$F$304&lt;&gt;"")*($F$5:$F$304&gt;=TODAY())*($F$5:$F$304&lt;F239))+SUMPRODUCT(($G$5:$G$304&lt;&gt;"Renewed")*($F$5:$F$304=F239)*(ROW($F$5:$F$304)&lt;ROW(F239)))+1,"")</f>
        <v/>
      </c>
      <c r="M239" s="140">
        <f>IF(H239&gt;0,SUMPRODUCT(($H$5:$H$304&gt;H239))+SUMPRODUCT(($H$5:$H$304=H239)*(ROW($H$5:$H$304)&lt;ROW(H239)))+1,"")</f>
        <v/>
      </c>
      <c r="N239" s="140">
        <f>IF(F239&lt;&gt;"",SUMPRODUCT(($F$5:$F$304=F239)*(ROW($F$5:$F$304)&lt;ROW(F239)))+1,"")</f>
        <v/>
      </c>
      <c r="O239" s="140">
        <f>IF(F239&lt;&gt;"",TEXT(F239,"yyyymmdd")&amp;"-"&amp;N239,"")</f>
        <v/>
      </c>
    </row>
    <row r="240" ht="15" customHeight="1" s="82">
      <c r="A240" s="83" t="n"/>
      <c r="B240" s="144">
        <f>IF(C240="","","POL-"&amp;TEXT(ROW()-4,"0000"))</f>
        <v/>
      </c>
      <c r="C240" s="144" t="n"/>
      <c r="D240" s="144" t="n"/>
      <c r="E240" s="144" t="n"/>
      <c r="F240" s="145" t="n"/>
      <c r="G240" s="144" t="n"/>
      <c r="H240" s="143">
        <f>IF(OR(G240="Renewed",G240=""),0,IF(TODAY()&gt;F240,TODAY()-F240,0))</f>
        <v/>
      </c>
      <c r="I240" s="144" t="n"/>
      <c r="J240" s="144" t="n"/>
      <c r="K240" s="83" t="n"/>
      <c r="L240" s="140">
        <f>IF(AND(G240&lt;&gt;"Renewed",F240&lt;&gt;"",F240&gt;=TODAY()),SUMPRODUCT(($G$5:$G$304&lt;&gt;"Renewed")*($F$5:$F$304&lt;&gt;"")*($F$5:$F$304&gt;=TODAY())*($F$5:$F$304&lt;F240))+SUMPRODUCT(($G$5:$G$304&lt;&gt;"Renewed")*($F$5:$F$304=F240)*(ROW($F$5:$F$304)&lt;ROW(F240)))+1,"")</f>
        <v/>
      </c>
      <c r="M240" s="140">
        <f>IF(H240&gt;0,SUMPRODUCT(($H$5:$H$304&gt;H240))+SUMPRODUCT(($H$5:$H$304=H240)*(ROW($H$5:$H$304)&lt;ROW(H240)))+1,"")</f>
        <v/>
      </c>
      <c r="N240" s="140">
        <f>IF(F240&lt;&gt;"",SUMPRODUCT(($F$5:$F$304=F240)*(ROW($F$5:$F$304)&lt;ROW(F240)))+1,"")</f>
        <v/>
      </c>
      <c r="O240" s="140">
        <f>IF(F240&lt;&gt;"",TEXT(F240,"yyyymmdd")&amp;"-"&amp;N240,"")</f>
        <v/>
      </c>
    </row>
    <row r="241" ht="15" customHeight="1" s="82">
      <c r="A241" s="83" t="n"/>
      <c r="B241" s="146">
        <f>IF(C241="","","POL-"&amp;TEXT(ROW()-4,"0000"))</f>
        <v/>
      </c>
      <c r="C241" s="146" t="n"/>
      <c r="D241" s="146" t="n"/>
      <c r="E241" s="146" t="n"/>
      <c r="F241" s="147" t="n"/>
      <c r="G241" s="146" t="n"/>
      <c r="H241" s="139">
        <f>IF(OR(G241="Renewed",G241=""),0,IF(TODAY()&gt;F241,TODAY()-F241,0))</f>
        <v/>
      </c>
      <c r="I241" s="146" t="n"/>
      <c r="J241" s="146" t="n"/>
      <c r="K241" s="83" t="n"/>
      <c r="L241" s="140">
        <f>IF(AND(G241&lt;&gt;"Renewed",F241&lt;&gt;"",F241&gt;=TODAY()),SUMPRODUCT(($G$5:$G$304&lt;&gt;"Renewed")*($F$5:$F$304&lt;&gt;"")*($F$5:$F$304&gt;=TODAY())*($F$5:$F$304&lt;F241))+SUMPRODUCT(($G$5:$G$304&lt;&gt;"Renewed")*($F$5:$F$304=F241)*(ROW($F$5:$F$304)&lt;ROW(F241)))+1,"")</f>
        <v/>
      </c>
      <c r="M241" s="140">
        <f>IF(H241&gt;0,SUMPRODUCT(($H$5:$H$304&gt;H241))+SUMPRODUCT(($H$5:$H$304=H241)*(ROW($H$5:$H$304)&lt;ROW(H241)))+1,"")</f>
        <v/>
      </c>
      <c r="N241" s="140">
        <f>IF(F241&lt;&gt;"",SUMPRODUCT(($F$5:$F$304=F241)*(ROW($F$5:$F$304)&lt;ROW(F241)))+1,"")</f>
        <v/>
      </c>
      <c r="O241" s="140">
        <f>IF(F241&lt;&gt;"",TEXT(F241,"yyyymmdd")&amp;"-"&amp;N241,"")</f>
        <v/>
      </c>
    </row>
    <row r="242" ht="15" customHeight="1" s="82">
      <c r="A242" s="83" t="n"/>
      <c r="B242" s="144">
        <f>IF(C242="","","POL-"&amp;TEXT(ROW()-4,"0000"))</f>
        <v/>
      </c>
      <c r="C242" s="144" t="n"/>
      <c r="D242" s="144" t="n"/>
      <c r="E242" s="144" t="n"/>
      <c r="F242" s="145" t="n"/>
      <c r="G242" s="144" t="n"/>
      <c r="H242" s="143">
        <f>IF(OR(G242="Renewed",G242=""),0,IF(TODAY()&gt;F242,TODAY()-F242,0))</f>
        <v/>
      </c>
      <c r="I242" s="144" t="n"/>
      <c r="J242" s="144" t="n"/>
      <c r="K242" s="83" t="n"/>
      <c r="L242" s="140">
        <f>IF(AND(G242&lt;&gt;"Renewed",F242&lt;&gt;"",F242&gt;=TODAY()),SUMPRODUCT(($G$5:$G$304&lt;&gt;"Renewed")*($F$5:$F$304&lt;&gt;"")*($F$5:$F$304&gt;=TODAY())*($F$5:$F$304&lt;F242))+SUMPRODUCT(($G$5:$G$304&lt;&gt;"Renewed")*($F$5:$F$304=F242)*(ROW($F$5:$F$304)&lt;ROW(F242)))+1,"")</f>
        <v/>
      </c>
      <c r="M242" s="140">
        <f>IF(H242&gt;0,SUMPRODUCT(($H$5:$H$304&gt;H242))+SUMPRODUCT(($H$5:$H$304=H242)*(ROW($H$5:$H$304)&lt;ROW(H242)))+1,"")</f>
        <v/>
      </c>
      <c r="N242" s="140">
        <f>IF(F242&lt;&gt;"",SUMPRODUCT(($F$5:$F$304=F242)*(ROW($F$5:$F$304)&lt;ROW(F242)))+1,"")</f>
        <v/>
      </c>
      <c r="O242" s="140">
        <f>IF(F242&lt;&gt;"",TEXT(F242,"yyyymmdd")&amp;"-"&amp;N242,"")</f>
        <v/>
      </c>
    </row>
    <row r="243" ht="15" customHeight="1" s="82">
      <c r="A243" s="83" t="n"/>
      <c r="B243" s="146">
        <f>IF(C243="","","POL-"&amp;TEXT(ROW()-4,"0000"))</f>
        <v/>
      </c>
      <c r="C243" s="146" t="n"/>
      <c r="D243" s="146" t="n"/>
      <c r="E243" s="146" t="n"/>
      <c r="F243" s="147" t="n"/>
      <c r="G243" s="146" t="n"/>
      <c r="H243" s="139">
        <f>IF(OR(G243="Renewed",G243=""),0,IF(TODAY()&gt;F243,TODAY()-F243,0))</f>
        <v/>
      </c>
      <c r="I243" s="146" t="n"/>
      <c r="J243" s="146" t="n"/>
      <c r="K243" s="83" t="n"/>
      <c r="L243" s="140">
        <f>IF(AND(G243&lt;&gt;"Renewed",F243&lt;&gt;"",F243&gt;=TODAY()),SUMPRODUCT(($G$5:$G$304&lt;&gt;"Renewed")*($F$5:$F$304&lt;&gt;"")*($F$5:$F$304&gt;=TODAY())*($F$5:$F$304&lt;F243))+SUMPRODUCT(($G$5:$G$304&lt;&gt;"Renewed")*($F$5:$F$304=F243)*(ROW($F$5:$F$304)&lt;ROW(F243)))+1,"")</f>
        <v/>
      </c>
      <c r="M243" s="140">
        <f>IF(H243&gt;0,SUMPRODUCT(($H$5:$H$304&gt;H243))+SUMPRODUCT(($H$5:$H$304=H243)*(ROW($H$5:$H$304)&lt;ROW(H243)))+1,"")</f>
        <v/>
      </c>
      <c r="N243" s="140">
        <f>IF(F243&lt;&gt;"",SUMPRODUCT(($F$5:$F$304=F243)*(ROW($F$5:$F$304)&lt;ROW(F243)))+1,"")</f>
        <v/>
      </c>
      <c r="O243" s="140">
        <f>IF(F243&lt;&gt;"",TEXT(F243,"yyyymmdd")&amp;"-"&amp;N243,"")</f>
        <v/>
      </c>
    </row>
    <row r="244" ht="15" customHeight="1" s="82">
      <c r="A244" s="83" t="n"/>
      <c r="B244" s="144">
        <f>IF(C244="","","POL-"&amp;TEXT(ROW()-4,"0000"))</f>
        <v/>
      </c>
      <c r="C244" s="144" t="n"/>
      <c r="D244" s="144" t="n"/>
      <c r="E244" s="144" t="n"/>
      <c r="F244" s="145" t="n"/>
      <c r="G244" s="144" t="n"/>
      <c r="H244" s="143">
        <f>IF(OR(G244="Renewed",G244=""),0,IF(TODAY()&gt;F244,TODAY()-F244,0))</f>
        <v/>
      </c>
      <c r="I244" s="144" t="n"/>
      <c r="J244" s="144" t="n"/>
      <c r="K244" s="83" t="n"/>
      <c r="L244" s="140">
        <f>IF(AND(G244&lt;&gt;"Renewed",F244&lt;&gt;"",F244&gt;=TODAY()),SUMPRODUCT(($G$5:$G$304&lt;&gt;"Renewed")*($F$5:$F$304&lt;&gt;"")*($F$5:$F$304&gt;=TODAY())*($F$5:$F$304&lt;F244))+SUMPRODUCT(($G$5:$G$304&lt;&gt;"Renewed")*($F$5:$F$304=F244)*(ROW($F$5:$F$304)&lt;ROW(F244)))+1,"")</f>
        <v/>
      </c>
      <c r="M244" s="140">
        <f>IF(H244&gt;0,SUMPRODUCT(($H$5:$H$304&gt;H244))+SUMPRODUCT(($H$5:$H$304=H244)*(ROW($H$5:$H$304)&lt;ROW(H244)))+1,"")</f>
        <v/>
      </c>
      <c r="N244" s="140">
        <f>IF(F244&lt;&gt;"",SUMPRODUCT(($F$5:$F$304=F244)*(ROW($F$5:$F$304)&lt;ROW(F244)))+1,"")</f>
        <v/>
      </c>
      <c r="O244" s="140">
        <f>IF(F244&lt;&gt;"",TEXT(F244,"yyyymmdd")&amp;"-"&amp;N244,"")</f>
        <v/>
      </c>
    </row>
    <row r="245" ht="15" customHeight="1" s="82">
      <c r="A245" s="83" t="n"/>
      <c r="B245" s="146">
        <f>IF(C245="","","POL-"&amp;TEXT(ROW()-4,"0000"))</f>
        <v/>
      </c>
      <c r="C245" s="146" t="n"/>
      <c r="D245" s="146" t="n"/>
      <c r="E245" s="146" t="n"/>
      <c r="F245" s="147" t="n"/>
      <c r="G245" s="146" t="n"/>
      <c r="H245" s="139">
        <f>IF(OR(G245="Renewed",G245=""),0,IF(TODAY()&gt;F245,TODAY()-F245,0))</f>
        <v/>
      </c>
      <c r="I245" s="146" t="n"/>
      <c r="J245" s="146" t="n"/>
      <c r="K245" s="83" t="n"/>
      <c r="L245" s="140">
        <f>IF(AND(G245&lt;&gt;"Renewed",F245&lt;&gt;"",F245&gt;=TODAY()),SUMPRODUCT(($G$5:$G$304&lt;&gt;"Renewed")*($F$5:$F$304&lt;&gt;"")*($F$5:$F$304&gt;=TODAY())*($F$5:$F$304&lt;F245))+SUMPRODUCT(($G$5:$G$304&lt;&gt;"Renewed")*($F$5:$F$304=F245)*(ROW($F$5:$F$304)&lt;ROW(F245)))+1,"")</f>
        <v/>
      </c>
      <c r="M245" s="140">
        <f>IF(H245&gt;0,SUMPRODUCT(($H$5:$H$304&gt;H245))+SUMPRODUCT(($H$5:$H$304=H245)*(ROW($H$5:$H$304)&lt;ROW(H245)))+1,"")</f>
        <v/>
      </c>
      <c r="N245" s="140">
        <f>IF(F245&lt;&gt;"",SUMPRODUCT(($F$5:$F$304=F245)*(ROW($F$5:$F$304)&lt;ROW(F245)))+1,"")</f>
        <v/>
      </c>
      <c r="O245" s="140">
        <f>IF(F245&lt;&gt;"",TEXT(F245,"yyyymmdd")&amp;"-"&amp;N245,"")</f>
        <v/>
      </c>
    </row>
    <row r="246" ht="15" customHeight="1" s="82">
      <c r="A246" s="83" t="n"/>
      <c r="B246" s="144">
        <f>IF(C246="","","POL-"&amp;TEXT(ROW()-4,"0000"))</f>
        <v/>
      </c>
      <c r="C246" s="144" t="n"/>
      <c r="D246" s="144" t="n"/>
      <c r="E246" s="144" t="n"/>
      <c r="F246" s="145" t="n"/>
      <c r="G246" s="144" t="n"/>
      <c r="H246" s="143">
        <f>IF(OR(G246="Renewed",G246=""),0,IF(TODAY()&gt;F246,TODAY()-F246,0))</f>
        <v/>
      </c>
      <c r="I246" s="144" t="n"/>
      <c r="J246" s="144" t="n"/>
      <c r="K246" s="83" t="n"/>
      <c r="L246" s="140">
        <f>IF(AND(G246&lt;&gt;"Renewed",F246&lt;&gt;"",F246&gt;=TODAY()),SUMPRODUCT(($G$5:$G$304&lt;&gt;"Renewed")*($F$5:$F$304&lt;&gt;"")*($F$5:$F$304&gt;=TODAY())*($F$5:$F$304&lt;F246))+SUMPRODUCT(($G$5:$G$304&lt;&gt;"Renewed")*($F$5:$F$304=F246)*(ROW($F$5:$F$304)&lt;ROW(F246)))+1,"")</f>
        <v/>
      </c>
      <c r="M246" s="140">
        <f>IF(H246&gt;0,SUMPRODUCT(($H$5:$H$304&gt;H246))+SUMPRODUCT(($H$5:$H$304=H246)*(ROW($H$5:$H$304)&lt;ROW(H246)))+1,"")</f>
        <v/>
      </c>
      <c r="N246" s="140">
        <f>IF(F246&lt;&gt;"",SUMPRODUCT(($F$5:$F$304=F246)*(ROW($F$5:$F$304)&lt;ROW(F246)))+1,"")</f>
        <v/>
      </c>
      <c r="O246" s="140">
        <f>IF(F246&lt;&gt;"",TEXT(F246,"yyyymmdd")&amp;"-"&amp;N246,"")</f>
        <v/>
      </c>
    </row>
    <row r="247" ht="15" customHeight="1" s="82">
      <c r="A247" s="83" t="n"/>
      <c r="B247" s="146">
        <f>IF(C247="","","POL-"&amp;TEXT(ROW()-4,"0000"))</f>
        <v/>
      </c>
      <c r="C247" s="146" t="n"/>
      <c r="D247" s="146" t="n"/>
      <c r="E247" s="146" t="n"/>
      <c r="F247" s="147" t="n"/>
      <c r="G247" s="146" t="n"/>
      <c r="H247" s="139">
        <f>IF(OR(G247="Renewed",G247=""),0,IF(TODAY()&gt;F247,TODAY()-F247,0))</f>
        <v/>
      </c>
      <c r="I247" s="146" t="n"/>
      <c r="J247" s="146" t="n"/>
      <c r="K247" s="83" t="n"/>
      <c r="L247" s="140">
        <f>IF(AND(G247&lt;&gt;"Renewed",F247&lt;&gt;"",F247&gt;=TODAY()),SUMPRODUCT(($G$5:$G$304&lt;&gt;"Renewed")*($F$5:$F$304&lt;&gt;"")*($F$5:$F$304&gt;=TODAY())*($F$5:$F$304&lt;F247))+SUMPRODUCT(($G$5:$G$304&lt;&gt;"Renewed")*($F$5:$F$304=F247)*(ROW($F$5:$F$304)&lt;ROW(F247)))+1,"")</f>
        <v/>
      </c>
      <c r="M247" s="140">
        <f>IF(H247&gt;0,SUMPRODUCT(($H$5:$H$304&gt;H247))+SUMPRODUCT(($H$5:$H$304=H247)*(ROW($H$5:$H$304)&lt;ROW(H247)))+1,"")</f>
        <v/>
      </c>
      <c r="N247" s="140">
        <f>IF(F247&lt;&gt;"",SUMPRODUCT(($F$5:$F$304=F247)*(ROW($F$5:$F$304)&lt;ROW(F247)))+1,"")</f>
        <v/>
      </c>
      <c r="O247" s="140">
        <f>IF(F247&lt;&gt;"",TEXT(F247,"yyyymmdd")&amp;"-"&amp;N247,"")</f>
        <v/>
      </c>
    </row>
    <row r="248" ht="15" customHeight="1" s="82">
      <c r="A248" s="83" t="n"/>
      <c r="B248" s="144">
        <f>IF(C248="","","POL-"&amp;TEXT(ROW()-4,"0000"))</f>
        <v/>
      </c>
      <c r="C248" s="144" t="n"/>
      <c r="D248" s="144" t="n"/>
      <c r="E248" s="144" t="n"/>
      <c r="F248" s="145" t="n"/>
      <c r="G248" s="144" t="n"/>
      <c r="H248" s="143">
        <f>IF(OR(G248="Renewed",G248=""),0,IF(TODAY()&gt;F248,TODAY()-F248,0))</f>
        <v/>
      </c>
      <c r="I248" s="144" t="n"/>
      <c r="J248" s="144" t="n"/>
      <c r="K248" s="83" t="n"/>
      <c r="L248" s="140">
        <f>IF(AND(G248&lt;&gt;"Renewed",F248&lt;&gt;"",F248&gt;=TODAY()),SUMPRODUCT(($G$5:$G$304&lt;&gt;"Renewed")*($F$5:$F$304&lt;&gt;"")*($F$5:$F$304&gt;=TODAY())*($F$5:$F$304&lt;F248))+SUMPRODUCT(($G$5:$G$304&lt;&gt;"Renewed")*($F$5:$F$304=F248)*(ROW($F$5:$F$304)&lt;ROW(F248)))+1,"")</f>
        <v/>
      </c>
      <c r="M248" s="140">
        <f>IF(H248&gt;0,SUMPRODUCT(($H$5:$H$304&gt;H248))+SUMPRODUCT(($H$5:$H$304=H248)*(ROW($H$5:$H$304)&lt;ROW(H248)))+1,"")</f>
        <v/>
      </c>
      <c r="N248" s="140">
        <f>IF(F248&lt;&gt;"",SUMPRODUCT(($F$5:$F$304=F248)*(ROW($F$5:$F$304)&lt;ROW(F248)))+1,"")</f>
        <v/>
      </c>
      <c r="O248" s="140">
        <f>IF(F248&lt;&gt;"",TEXT(F248,"yyyymmdd")&amp;"-"&amp;N248,"")</f>
        <v/>
      </c>
    </row>
    <row r="249" ht="15" customHeight="1" s="82">
      <c r="A249" s="83" t="n"/>
      <c r="B249" s="146">
        <f>IF(C249="","","POL-"&amp;TEXT(ROW()-4,"0000"))</f>
        <v/>
      </c>
      <c r="C249" s="146" t="n"/>
      <c r="D249" s="146" t="n"/>
      <c r="E249" s="146" t="n"/>
      <c r="F249" s="147" t="n"/>
      <c r="G249" s="146" t="n"/>
      <c r="H249" s="139">
        <f>IF(OR(G249="Renewed",G249=""),0,IF(TODAY()&gt;F249,TODAY()-F249,0))</f>
        <v/>
      </c>
      <c r="I249" s="146" t="n"/>
      <c r="J249" s="146" t="n"/>
      <c r="K249" s="83" t="n"/>
      <c r="L249" s="140">
        <f>IF(AND(G249&lt;&gt;"Renewed",F249&lt;&gt;"",F249&gt;=TODAY()),SUMPRODUCT(($G$5:$G$304&lt;&gt;"Renewed")*($F$5:$F$304&lt;&gt;"")*($F$5:$F$304&gt;=TODAY())*($F$5:$F$304&lt;F249))+SUMPRODUCT(($G$5:$G$304&lt;&gt;"Renewed")*($F$5:$F$304=F249)*(ROW($F$5:$F$304)&lt;ROW(F249)))+1,"")</f>
        <v/>
      </c>
      <c r="M249" s="140">
        <f>IF(H249&gt;0,SUMPRODUCT(($H$5:$H$304&gt;H249))+SUMPRODUCT(($H$5:$H$304=H249)*(ROW($H$5:$H$304)&lt;ROW(H249)))+1,"")</f>
        <v/>
      </c>
      <c r="N249" s="140">
        <f>IF(F249&lt;&gt;"",SUMPRODUCT(($F$5:$F$304=F249)*(ROW($F$5:$F$304)&lt;ROW(F249)))+1,"")</f>
        <v/>
      </c>
      <c r="O249" s="140">
        <f>IF(F249&lt;&gt;"",TEXT(F249,"yyyymmdd")&amp;"-"&amp;N249,"")</f>
        <v/>
      </c>
    </row>
    <row r="250" ht="15" customHeight="1" s="82">
      <c r="A250" s="83" t="n"/>
      <c r="B250" s="144">
        <f>IF(C250="","","POL-"&amp;TEXT(ROW()-4,"0000"))</f>
        <v/>
      </c>
      <c r="C250" s="144" t="n"/>
      <c r="D250" s="144" t="n"/>
      <c r="E250" s="144" t="n"/>
      <c r="F250" s="145" t="n"/>
      <c r="G250" s="144" t="n"/>
      <c r="H250" s="143">
        <f>IF(OR(G250="Renewed",G250=""),0,IF(TODAY()&gt;F250,TODAY()-F250,0))</f>
        <v/>
      </c>
      <c r="I250" s="144" t="n"/>
      <c r="J250" s="144" t="n"/>
      <c r="K250" s="83" t="n"/>
      <c r="L250" s="140">
        <f>IF(AND(G250&lt;&gt;"Renewed",F250&lt;&gt;"",F250&gt;=TODAY()),SUMPRODUCT(($G$5:$G$304&lt;&gt;"Renewed")*($F$5:$F$304&lt;&gt;"")*($F$5:$F$304&gt;=TODAY())*($F$5:$F$304&lt;F250))+SUMPRODUCT(($G$5:$G$304&lt;&gt;"Renewed")*($F$5:$F$304=F250)*(ROW($F$5:$F$304)&lt;ROW(F250)))+1,"")</f>
        <v/>
      </c>
      <c r="M250" s="140">
        <f>IF(H250&gt;0,SUMPRODUCT(($H$5:$H$304&gt;H250))+SUMPRODUCT(($H$5:$H$304=H250)*(ROW($H$5:$H$304)&lt;ROW(H250)))+1,"")</f>
        <v/>
      </c>
      <c r="N250" s="140">
        <f>IF(F250&lt;&gt;"",SUMPRODUCT(($F$5:$F$304=F250)*(ROW($F$5:$F$304)&lt;ROW(F250)))+1,"")</f>
        <v/>
      </c>
      <c r="O250" s="140">
        <f>IF(F250&lt;&gt;"",TEXT(F250,"yyyymmdd")&amp;"-"&amp;N250,"")</f>
        <v/>
      </c>
    </row>
    <row r="251" ht="15" customHeight="1" s="82">
      <c r="A251" s="83" t="n"/>
      <c r="B251" s="146">
        <f>IF(C251="","","POL-"&amp;TEXT(ROW()-4,"0000"))</f>
        <v/>
      </c>
      <c r="C251" s="146" t="n"/>
      <c r="D251" s="146" t="n"/>
      <c r="E251" s="146" t="n"/>
      <c r="F251" s="147" t="n"/>
      <c r="G251" s="146" t="n"/>
      <c r="H251" s="139">
        <f>IF(OR(G251="Renewed",G251=""),0,IF(TODAY()&gt;F251,TODAY()-F251,0))</f>
        <v/>
      </c>
      <c r="I251" s="146" t="n"/>
      <c r="J251" s="146" t="n"/>
      <c r="K251" s="83" t="n"/>
      <c r="L251" s="140">
        <f>IF(AND(G251&lt;&gt;"Renewed",F251&lt;&gt;"",F251&gt;=TODAY()),SUMPRODUCT(($G$5:$G$304&lt;&gt;"Renewed")*($F$5:$F$304&lt;&gt;"")*($F$5:$F$304&gt;=TODAY())*($F$5:$F$304&lt;F251))+SUMPRODUCT(($G$5:$G$304&lt;&gt;"Renewed")*($F$5:$F$304=F251)*(ROW($F$5:$F$304)&lt;ROW(F251)))+1,"")</f>
        <v/>
      </c>
      <c r="M251" s="140">
        <f>IF(H251&gt;0,SUMPRODUCT(($H$5:$H$304&gt;H251))+SUMPRODUCT(($H$5:$H$304=H251)*(ROW($H$5:$H$304)&lt;ROW(H251)))+1,"")</f>
        <v/>
      </c>
      <c r="N251" s="140">
        <f>IF(F251&lt;&gt;"",SUMPRODUCT(($F$5:$F$304=F251)*(ROW($F$5:$F$304)&lt;ROW(F251)))+1,"")</f>
        <v/>
      </c>
      <c r="O251" s="140">
        <f>IF(F251&lt;&gt;"",TEXT(F251,"yyyymmdd")&amp;"-"&amp;N251,"")</f>
        <v/>
      </c>
    </row>
    <row r="252" ht="15" customHeight="1" s="82">
      <c r="A252" s="83" t="n"/>
      <c r="B252" s="144">
        <f>IF(C252="","","POL-"&amp;TEXT(ROW()-4,"0000"))</f>
        <v/>
      </c>
      <c r="C252" s="144" t="n"/>
      <c r="D252" s="144" t="n"/>
      <c r="E252" s="144" t="n"/>
      <c r="F252" s="145" t="n"/>
      <c r="G252" s="144" t="n"/>
      <c r="H252" s="143">
        <f>IF(OR(G252="Renewed",G252=""),0,IF(TODAY()&gt;F252,TODAY()-F252,0))</f>
        <v/>
      </c>
      <c r="I252" s="144" t="n"/>
      <c r="J252" s="144" t="n"/>
      <c r="K252" s="83" t="n"/>
      <c r="L252" s="140">
        <f>IF(AND(G252&lt;&gt;"Renewed",F252&lt;&gt;"",F252&gt;=TODAY()),SUMPRODUCT(($G$5:$G$304&lt;&gt;"Renewed")*($F$5:$F$304&lt;&gt;"")*($F$5:$F$304&gt;=TODAY())*($F$5:$F$304&lt;F252))+SUMPRODUCT(($G$5:$G$304&lt;&gt;"Renewed")*($F$5:$F$304=F252)*(ROW($F$5:$F$304)&lt;ROW(F252)))+1,"")</f>
        <v/>
      </c>
      <c r="M252" s="140">
        <f>IF(H252&gt;0,SUMPRODUCT(($H$5:$H$304&gt;H252))+SUMPRODUCT(($H$5:$H$304=H252)*(ROW($H$5:$H$304)&lt;ROW(H252)))+1,"")</f>
        <v/>
      </c>
      <c r="N252" s="140">
        <f>IF(F252&lt;&gt;"",SUMPRODUCT(($F$5:$F$304=F252)*(ROW($F$5:$F$304)&lt;ROW(F252)))+1,"")</f>
        <v/>
      </c>
      <c r="O252" s="140">
        <f>IF(F252&lt;&gt;"",TEXT(F252,"yyyymmdd")&amp;"-"&amp;N252,"")</f>
        <v/>
      </c>
    </row>
    <row r="253" ht="15" customHeight="1" s="82">
      <c r="A253" s="83" t="n"/>
      <c r="B253" s="146">
        <f>IF(C253="","","POL-"&amp;TEXT(ROW()-4,"0000"))</f>
        <v/>
      </c>
      <c r="C253" s="146" t="n"/>
      <c r="D253" s="146" t="n"/>
      <c r="E253" s="146" t="n"/>
      <c r="F253" s="147" t="n"/>
      <c r="G253" s="146" t="n"/>
      <c r="H253" s="139">
        <f>IF(OR(G253="Renewed",G253=""),0,IF(TODAY()&gt;F253,TODAY()-F253,0))</f>
        <v/>
      </c>
      <c r="I253" s="146" t="n"/>
      <c r="J253" s="146" t="n"/>
      <c r="K253" s="83" t="n"/>
      <c r="L253" s="140">
        <f>IF(AND(G253&lt;&gt;"Renewed",F253&lt;&gt;"",F253&gt;=TODAY()),SUMPRODUCT(($G$5:$G$304&lt;&gt;"Renewed")*($F$5:$F$304&lt;&gt;"")*($F$5:$F$304&gt;=TODAY())*($F$5:$F$304&lt;F253))+SUMPRODUCT(($G$5:$G$304&lt;&gt;"Renewed")*($F$5:$F$304=F253)*(ROW($F$5:$F$304)&lt;ROW(F253)))+1,"")</f>
        <v/>
      </c>
      <c r="M253" s="140">
        <f>IF(H253&gt;0,SUMPRODUCT(($H$5:$H$304&gt;H253))+SUMPRODUCT(($H$5:$H$304=H253)*(ROW($H$5:$H$304)&lt;ROW(H253)))+1,"")</f>
        <v/>
      </c>
      <c r="N253" s="140">
        <f>IF(F253&lt;&gt;"",SUMPRODUCT(($F$5:$F$304=F253)*(ROW($F$5:$F$304)&lt;ROW(F253)))+1,"")</f>
        <v/>
      </c>
      <c r="O253" s="140">
        <f>IF(F253&lt;&gt;"",TEXT(F253,"yyyymmdd")&amp;"-"&amp;N253,"")</f>
        <v/>
      </c>
    </row>
    <row r="254" ht="15" customHeight="1" s="82">
      <c r="A254" s="83" t="n"/>
      <c r="B254" s="144">
        <f>IF(C254="","","POL-"&amp;TEXT(ROW()-4,"0000"))</f>
        <v/>
      </c>
      <c r="C254" s="144" t="n"/>
      <c r="D254" s="144" t="n"/>
      <c r="E254" s="144" t="n"/>
      <c r="F254" s="145" t="n"/>
      <c r="G254" s="144" t="n"/>
      <c r="H254" s="143">
        <f>IF(OR(G254="Renewed",G254=""),0,IF(TODAY()&gt;F254,TODAY()-F254,0))</f>
        <v/>
      </c>
      <c r="I254" s="144" t="n"/>
      <c r="J254" s="144" t="n"/>
      <c r="K254" s="83" t="n"/>
      <c r="L254" s="140">
        <f>IF(AND(G254&lt;&gt;"Renewed",F254&lt;&gt;"",F254&gt;=TODAY()),SUMPRODUCT(($G$5:$G$304&lt;&gt;"Renewed")*($F$5:$F$304&lt;&gt;"")*($F$5:$F$304&gt;=TODAY())*($F$5:$F$304&lt;F254))+SUMPRODUCT(($G$5:$G$304&lt;&gt;"Renewed")*($F$5:$F$304=F254)*(ROW($F$5:$F$304)&lt;ROW(F254)))+1,"")</f>
        <v/>
      </c>
      <c r="M254" s="140">
        <f>IF(H254&gt;0,SUMPRODUCT(($H$5:$H$304&gt;H254))+SUMPRODUCT(($H$5:$H$304=H254)*(ROW($H$5:$H$304)&lt;ROW(H254)))+1,"")</f>
        <v/>
      </c>
      <c r="N254" s="140">
        <f>IF(F254&lt;&gt;"",SUMPRODUCT(($F$5:$F$304=F254)*(ROW($F$5:$F$304)&lt;ROW(F254)))+1,"")</f>
        <v/>
      </c>
      <c r="O254" s="140">
        <f>IF(F254&lt;&gt;"",TEXT(F254,"yyyymmdd")&amp;"-"&amp;N254,"")</f>
        <v/>
      </c>
    </row>
    <row r="255" ht="15" customHeight="1" s="82">
      <c r="A255" s="83" t="n"/>
      <c r="B255" s="146">
        <f>IF(C255="","","POL-"&amp;TEXT(ROW()-4,"0000"))</f>
        <v/>
      </c>
      <c r="C255" s="146" t="n"/>
      <c r="D255" s="146" t="n"/>
      <c r="E255" s="146" t="n"/>
      <c r="F255" s="147" t="n"/>
      <c r="G255" s="146" t="n"/>
      <c r="H255" s="139">
        <f>IF(OR(G255="Renewed",G255=""),0,IF(TODAY()&gt;F255,TODAY()-F255,0))</f>
        <v/>
      </c>
      <c r="I255" s="146" t="n"/>
      <c r="J255" s="146" t="n"/>
      <c r="K255" s="83" t="n"/>
      <c r="L255" s="140">
        <f>IF(AND(G255&lt;&gt;"Renewed",F255&lt;&gt;"",F255&gt;=TODAY()),SUMPRODUCT(($G$5:$G$304&lt;&gt;"Renewed")*($F$5:$F$304&lt;&gt;"")*($F$5:$F$304&gt;=TODAY())*($F$5:$F$304&lt;F255))+SUMPRODUCT(($G$5:$G$304&lt;&gt;"Renewed")*($F$5:$F$304=F255)*(ROW($F$5:$F$304)&lt;ROW(F255)))+1,"")</f>
        <v/>
      </c>
      <c r="M255" s="140">
        <f>IF(H255&gt;0,SUMPRODUCT(($H$5:$H$304&gt;H255))+SUMPRODUCT(($H$5:$H$304=H255)*(ROW($H$5:$H$304)&lt;ROW(H255)))+1,"")</f>
        <v/>
      </c>
      <c r="N255" s="140">
        <f>IF(F255&lt;&gt;"",SUMPRODUCT(($F$5:$F$304=F255)*(ROW($F$5:$F$304)&lt;ROW(F255)))+1,"")</f>
        <v/>
      </c>
      <c r="O255" s="140">
        <f>IF(F255&lt;&gt;"",TEXT(F255,"yyyymmdd")&amp;"-"&amp;N255,"")</f>
        <v/>
      </c>
    </row>
    <row r="256" ht="15" customHeight="1" s="82">
      <c r="A256" s="83" t="n"/>
      <c r="B256" s="144">
        <f>IF(C256="","","POL-"&amp;TEXT(ROW()-4,"0000"))</f>
        <v/>
      </c>
      <c r="C256" s="144" t="n"/>
      <c r="D256" s="144" t="n"/>
      <c r="E256" s="144" t="n"/>
      <c r="F256" s="145" t="n"/>
      <c r="G256" s="144" t="n"/>
      <c r="H256" s="143">
        <f>IF(OR(G256="Renewed",G256=""),0,IF(TODAY()&gt;F256,TODAY()-F256,0))</f>
        <v/>
      </c>
      <c r="I256" s="144" t="n"/>
      <c r="J256" s="144" t="n"/>
      <c r="K256" s="83" t="n"/>
      <c r="L256" s="140">
        <f>IF(AND(G256&lt;&gt;"Renewed",F256&lt;&gt;"",F256&gt;=TODAY()),SUMPRODUCT(($G$5:$G$304&lt;&gt;"Renewed")*($F$5:$F$304&lt;&gt;"")*($F$5:$F$304&gt;=TODAY())*($F$5:$F$304&lt;F256))+SUMPRODUCT(($G$5:$G$304&lt;&gt;"Renewed")*($F$5:$F$304=F256)*(ROW($F$5:$F$304)&lt;ROW(F256)))+1,"")</f>
        <v/>
      </c>
      <c r="M256" s="140">
        <f>IF(H256&gt;0,SUMPRODUCT(($H$5:$H$304&gt;H256))+SUMPRODUCT(($H$5:$H$304=H256)*(ROW($H$5:$H$304)&lt;ROW(H256)))+1,"")</f>
        <v/>
      </c>
      <c r="N256" s="140">
        <f>IF(F256&lt;&gt;"",SUMPRODUCT(($F$5:$F$304=F256)*(ROW($F$5:$F$304)&lt;ROW(F256)))+1,"")</f>
        <v/>
      </c>
      <c r="O256" s="140">
        <f>IF(F256&lt;&gt;"",TEXT(F256,"yyyymmdd")&amp;"-"&amp;N256,"")</f>
        <v/>
      </c>
    </row>
    <row r="257" ht="15" customHeight="1" s="82">
      <c r="A257" s="83" t="n"/>
      <c r="B257" s="146">
        <f>IF(C257="","","POL-"&amp;TEXT(ROW()-4,"0000"))</f>
        <v/>
      </c>
      <c r="C257" s="146" t="n"/>
      <c r="D257" s="146" t="n"/>
      <c r="E257" s="146" t="n"/>
      <c r="F257" s="147" t="n"/>
      <c r="G257" s="146" t="n"/>
      <c r="H257" s="139">
        <f>IF(OR(G257="Renewed",G257=""),0,IF(TODAY()&gt;F257,TODAY()-F257,0))</f>
        <v/>
      </c>
      <c r="I257" s="146" t="n"/>
      <c r="J257" s="146" t="n"/>
      <c r="K257" s="83" t="n"/>
      <c r="L257" s="140">
        <f>IF(AND(G257&lt;&gt;"Renewed",F257&lt;&gt;"",F257&gt;=TODAY()),SUMPRODUCT(($G$5:$G$304&lt;&gt;"Renewed")*($F$5:$F$304&lt;&gt;"")*($F$5:$F$304&gt;=TODAY())*($F$5:$F$304&lt;F257))+SUMPRODUCT(($G$5:$G$304&lt;&gt;"Renewed")*($F$5:$F$304=F257)*(ROW($F$5:$F$304)&lt;ROW(F257)))+1,"")</f>
        <v/>
      </c>
      <c r="M257" s="140">
        <f>IF(H257&gt;0,SUMPRODUCT(($H$5:$H$304&gt;H257))+SUMPRODUCT(($H$5:$H$304=H257)*(ROW($H$5:$H$304)&lt;ROW(H257)))+1,"")</f>
        <v/>
      </c>
      <c r="N257" s="140">
        <f>IF(F257&lt;&gt;"",SUMPRODUCT(($F$5:$F$304=F257)*(ROW($F$5:$F$304)&lt;ROW(F257)))+1,"")</f>
        <v/>
      </c>
      <c r="O257" s="140">
        <f>IF(F257&lt;&gt;"",TEXT(F257,"yyyymmdd")&amp;"-"&amp;N257,"")</f>
        <v/>
      </c>
    </row>
    <row r="258" ht="15" customHeight="1" s="82">
      <c r="A258" s="83" t="n"/>
      <c r="B258" s="144">
        <f>IF(C258="","","POL-"&amp;TEXT(ROW()-4,"0000"))</f>
        <v/>
      </c>
      <c r="C258" s="144" t="n"/>
      <c r="D258" s="144" t="n"/>
      <c r="E258" s="144" t="n"/>
      <c r="F258" s="145" t="n"/>
      <c r="G258" s="144" t="n"/>
      <c r="H258" s="143">
        <f>IF(OR(G258="Renewed",G258=""),0,IF(TODAY()&gt;F258,TODAY()-F258,0))</f>
        <v/>
      </c>
      <c r="I258" s="144" t="n"/>
      <c r="J258" s="144" t="n"/>
      <c r="K258" s="83" t="n"/>
      <c r="L258" s="140">
        <f>IF(AND(G258&lt;&gt;"Renewed",F258&lt;&gt;"",F258&gt;=TODAY()),SUMPRODUCT(($G$5:$G$304&lt;&gt;"Renewed")*($F$5:$F$304&lt;&gt;"")*($F$5:$F$304&gt;=TODAY())*($F$5:$F$304&lt;F258))+SUMPRODUCT(($G$5:$G$304&lt;&gt;"Renewed")*($F$5:$F$304=F258)*(ROW($F$5:$F$304)&lt;ROW(F258)))+1,"")</f>
        <v/>
      </c>
      <c r="M258" s="140">
        <f>IF(H258&gt;0,SUMPRODUCT(($H$5:$H$304&gt;H258))+SUMPRODUCT(($H$5:$H$304=H258)*(ROW($H$5:$H$304)&lt;ROW(H258)))+1,"")</f>
        <v/>
      </c>
      <c r="N258" s="140">
        <f>IF(F258&lt;&gt;"",SUMPRODUCT(($F$5:$F$304=F258)*(ROW($F$5:$F$304)&lt;ROW(F258)))+1,"")</f>
        <v/>
      </c>
      <c r="O258" s="140">
        <f>IF(F258&lt;&gt;"",TEXT(F258,"yyyymmdd")&amp;"-"&amp;N258,"")</f>
        <v/>
      </c>
    </row>
    <row r="259" ht="15" customHeight="1" s="82">
      <c r="A259" s="83" t="n"/>
      <c r="B259" s="146">
        <f>IF(C259="","","POL-"&amp;TEXT(ROW()-4,"0000"))</f>
        <v/>
      </c>
      <c r="C259" s="146" t="n"/>
      <c r="D259" s="146" t="n"/>
      <c r="E259" s="146" t="n"/>
      <c r="F259" s="147" t="n"/>
      <c r="G259" s="146" t="n"/>
      <c r="H259" s="139">
        <f>IF(OR(G259="Renewed",G259=""),0,IF(TODAY()&gt;F259,TODAY()-F259,0))</f>
        <v/>
      </c>
      <c r="I259" s="146" t="n"/>
      <c r="J259" s="146" t="n"/>
      <c r="K259" s="83" t="n"/>
      <c r="L259" s="140">
        <f>IF(AND(G259&lt;&gt;"Renewed",F259&lt;&gt;"",F259&gt;=TODAY()),SUMPRODUCT(($G$5:$G$304&lt;&gt;"Renewed")*($F$5:$F$304&lt;&gt;"")*($F$5:$F$304&gt;=TODAY())*($F$5:$F$304&lt;F259))+SUMPRODUCT(($G$5:$G$304&lt;&gt;"Renewed")*($F$5:$F$304=F259)*(ROW($F$5:$F$304)&lt;ROW(F259)))+1,"")</f>
        <v/>
      </c>
      <c r="M259" s="140">
        <f>IF(H259&gt;0,SUMPRODUCT(($H$5:$H$304&gt;H259))+SUMPRODUCT(($H$5:$H$304=H259)*(ROW($H$5:$H$304)&lt;ROW(H259)))+1,"")</f>
        <v/>
      </c>
      <c r="N259" s="140">
        <f>IF(F259&lt;&gt;"",SUMPRODUCT(($F$5:$F$304=F259)*(ROW($F$5:$F$304)&lt;ROW(F259)))+1,"")</f>
        <v/>
      </c>
      <c r="O259" s="140">
        <f>IF(F259&lt;&gt;"",TEXT(F259,"yyyymmdd")&amp;"-"&amp;N259,"")</f>
        <v/>
      </c>
    </row>
    <row r="260" ht="15" customHeight="1" s="82">
      <c r="A260" s="83" t="n"/>
      <c r="B260" s="144">
        <f>IF(C260="","","POL-"&amp;TEXT(ROW()-4,"0000"))</f>
        <v/>
      </c>
      <c r="C260" s="144" t="n"/>
      <c r="D260" s="144" t="n"/>
      <c r="E260" s="144" t="n"/>
      <c r="F260" s="145" t="n"/>
      <c r="G260" s="144" t="n"/>
      <c r="H260" s="143">
        <f>IF(OR(G260="Renewed",G260=""),0,IF(TODAY()&gt;F260,TODAY()-F260,0))</f>
        <v/>
      </c>
      <c r="I260" s="144" t="n"/>
      <c r="J260" s="144" t="n"/>
      <c r="K260" s="83" t="n"/>
      <c r="L260" s="140">
        <f>IF(AND(G260&lt;&gt;"Renewed",F260&lt;&gt;"",F260&gt;=TODAY()),SUMPRODUCT(($G$5:$G$304&lt;&gt;"Renewed")*($F$5:$F$304&lt;&gt;"")*($F$5:$F$304&gt;=TODAY())*($F$5:$F$304&lt;F260))+SUMPRODUCT(($G$5:$G$304&lt;&gt;"Renewed")*($F$5:$F$304=F260)*(ROW($F$5:$F$304)&lt;ROW(F260)))+1,"")</f>
        <v/>
      </c>
      <c r="M260" s="140">
        <f>IF(H260&gt;0,SUMPRODUCT(($H$5:$H$304&gt;H260))+SUMPRODUCT(($H$5:$H$304=H260)*(ROW($H$5:$H$304)&lt;ROW(H260)))+1,"")</f>
        <v/>
      </c>
      <c r="N260" s="140">
        <f>IF(F260&lt;&gt;"",SUMPRODUCT(($F$5:$F$304=F260)*(ROW($F$5:$F$304)&lt;ROW(F260)))+1,"")</f>
        <v/>
      </c>
      <c r="O260" s="140">
        <f>IF(F260&lt;&gt;"",TEXT(F260,"yyyymmdd")&amp;"-"&amp;N260,"")</f>
        <v/>
      </c>
    </row>
    <row r="261" ht="15" customHeight="1" s="82">
      <c r="A261" s="83" t="n"/>
      <c r="B261" s="146">
        <f>IF(C261="","","POL-"&amp;TEXT(ROW()-4,"0000"))</f>
        <v/>
      </c>
      <c r="C261" s="146" t="n"/>
      <c r="D261" s="146" t="n"/>
      <c r="E261" s="146" t="n"/>
      <c r="F261" s="147" t="n"/>
      <c r="G261" s="146" t="n"/>
      <c r="H261" s="139">
        <f>IF(OR(G261="Renewed",G261=""),0,IF(TODAY()&gt;F261,TODAY()-F261,0))</f>
        <v/>
      </c>
      <c r="I261" s="146" t="n"/>
      <c r="J261" s="146" t="n"/>
      <c r="K261" s="83" t="n"/>
      <c r="L261" s="140">
        <f>IF(AND(G261&lt;&gt;"Renewed",F261&lt;&gt;"",F261&gt;=TODAY()),SUMPRODUCT(($G$5:$G$304&lt;&gt;"Renewed")*($F$5:$F$304&lt;&gt;"")*($F$5:$F$304&gt;=TODAY())*($F$5:$F$304&lt;F261))+SUMPRODUCT(($G$5:$G$304&lt;&gt;"Renewed")*($F$5:$F$304=F261)*(ROW($F$5:$F$304)&lt;ROW(F261)))+1,"")</f>
        <v/>
      </c>
      <c r="M261" s="140">
        <f>IF(H261&gt;0,SUMPRODUCT(($H$5:$H$304&gt;H261))+SUMPRODUCT(($H$5:$H$304=H261)*(ROW($H$5:$H$304)&lt;ROW(H261)))+1,"")</f>
        <v/>
      </c>
      <c r="N261" s="140">
        <f>IF(F261&lt;&gt;"",SUMPRODUCT(($F$5:$F$304=F261)*(ROW($F$5:$F$304)&lt;ROW(F261)))+1,"")</f>
        <v/>
      </c>
      <c r="O261" s="140">
        <f>IF(F261&lt;&gt;"",TEXT(F261,"yyyymmdd")&amp;"-"&amp;N261,"")</f>
        <v/>
      </c>
    </row>
    <row r="262" ht="15" customHeight="1" s="82">
      <c r="A262" s="83" t="n"/>
      <c r="B262" s="144">
        <f>IF(C262="","","POL-"&amp;TEXT(ROW()-4,"0000"))</f>
        <v/>
      </c>
      <c r="C262" s="144" t="n"/>
      <c r="D262" s="144" t="n"/>
      <c r="E262" s="144" t="n"/>
      <c r="F262" s="145" t="n"/>
      <c r="G262" s="144" t="n"/>
      <c r="H262" s="143">
        <f>IF(OR(G262="Renewed",G262=""),0,IF(TODAY()&gt;F262,TODAY()-F262,0))</f>
        <v/>
      </c>
      <c r="I262" s="144" t="n"/>
      <c r="J262" s="144" t="n"/>
      <c r="K262" s="83" t="n"/>
      <c r="L262" s="140">
        <f>IF(AND(G262&lt;&gt;"Renewed",F262&lt;&gt;"",F262&gt;=TODAY()),SUMPRODUCT(($G$5:$G$304&lt;&gt;"Renewed")*($F$5:$F$304&lt;&gt;"")*($F$5:$F$304&gt;=TODAY())*($F$5:$F$304&lt;F262))+SUMPRODUCT(($G$5:$G$304&lt;&gt;"Renewed")*($F$5:$F$304=F262)*(ROW($F$5:$F$304)&lt;ROW(F262)))+1,"")</f>
        <v/>
      </c>
      <c r="M262" s="140">
        <f>IF(H262&gt;0,SUMPRODUCT(($H$5:$H$304&gt;H262))+SUMPRODUCT(($H$5:$H$304=H262)*(ROW($H$5:$H$304)&lt;ROW(H262)))+1,"")</f>
        <v/>
      </c>
      <c r="N262" s="140">
        <f>IF(F262&lt;&gt;"",SUMPRODUCT(($F$5:$F$304=F262)*(ROW($F$5:$F$304)&lt;ROW(F262)))+1,"")</f>
        <v/>
      </c>
      <c r="O262" s="140">
        <f>IF(F262&lt;&gt;"",TEXT(F262,"yyyymmdd")&amp;"-"&amp;N262,"")</f>
        <v/>
      </c>
    </row>
    <row r="263" ht="15" customHeight="1" s="82">
      <c r="A263" s="83" t="n"/>
      <c r="B263" s="146">
        <f>IF(C263="","","POL-"&amp;TEXT(ROW()-4,"0000"))</f>
        <v/>
      </c>
      <c r="C263" s="146" t="n"/>
      <c r="D263" s="146" t="n"/>
      <c r="E263" s="146" t="n"/>
      <c r="F263" s="147" t="n"/>
      <c r="G263" s="146" t="n"/>
      <c r="H263" s="139">
        <f>IF(OR(G263="Renewed",G263=""),0,IF(TODAY()&gt;F263,TODAY()-F263,0))</f>
        <v/>
      </c>
      <c r="I263" s="146" t="n"/>
      <c r="J263" s="146" t="n"/>
      <c r="K263" s="83" t="n"/>
      <c r="L263" s="140">
        <f>IF(AND(G263&lt;&gt;"Renewed",F263&lt;&gt;"",F263&gt;=TODAY()),SUMPRODUCT(($G$5:$G$304&lt;&gt;"Renewed")*($F$5:$F$304&lt;&gt;"")*($F$5:$F$304&gt;=TODAY())*($F$5:$F$304&lt;F263))+SUMPRODUCT(($G$5:$G$304&lt;&gt;"Renewed")*($F$5:$F$304=F263)*(ROW($F$5:$F$304)&lt;ROW(F263)))+1,"")</f>
        <v/>
      </c>
      <c r="M263" s="140">
        <f>IF(H263&gt;0,SUMPRODUCT(($H$5:$H$304&gt;H263))+SUMPRODUCT(($H$5:$H$304=H263)*(ROW($H$5:$H$304)&lt;ROW(H263)))+1,"")</f>
        <v/>
      </c>
      <c r="N263" s="140">
        <f>IF(F263&lt;&gt;"",SUMPRODUCT(($F$5:$F$304=F263)*(ROW($F$5:$F$304)&lt;ROW(F263)))+1,"")</f>
        <v/>
      </c>
      <c r="O263" s="140">
        <f>IF(F263&lt;&gt;"",TEXT(F263,"yyyymmdd")&amp;"-"&amp;N263,"")</f>
        <v/>
      </c>
    </row>
    <row r="264" ht="15" customHeight="1" s="82">
      <c r="A264" s="83" t="n"/>
      <c r="B264" s="144">
        <f>IF(C264="","","POL-"&amp;TEXT(ROW()-4,"0000"))</f>
        <v/>
      </c>
      <c r="C264" s="144" t="n"/>
      <c r="D264" s="144" t="n"/>
      <c r="E264" s="144" t="n"/>
      <c r="F264" s="145" t="n"/>
      <c r="G264" s="144" t="n"/>
      <c r="H264" s="143">
        <f>IF(OR(G264="Renewed",G264=""),0,IF(TODAY()&gt;F264,TODAY()-F264,0))</f>
        <v/>
      </c>
      <c r="I264" s="144" t="n"/>
      <c r="J264" s="144" t="n"/>
      <c r="K264" s="83" t="n"/>
      <c r="L264" s="140">
        <f>IF(AND(G264&lt;&gt;"Renewed",F264&lt;&gt;"",F264&gt;=TODAY()),SUMPRODUCT(($G$5:$G$304&lt;&gt;"Renewed")*($F$5:$F$304&lt;&gt;"")*($F$5:$F$304&gt;=TODAY())*($F$5:$F$304&lt;F264))+SUMPRODUCT(($G$5:$G$304&lt;&gt;"Renewed")*($F$5:$F$304=F264)*(ROW($F$5:$F$304)&lt;ROW(F264)))+1,"")</f>
        <v/>
      </c>
      <c r="M264" s="140">
        <f>IF(H264&gt;0,SUMPRODUCT(($H$5:$H$304&gt;H264))+SUMPRODUCT(($H$5:$H$304=H264)*(ROW($H$5:$H$304)&lt;ROW(H264)))+1,"")</f>
        <v/>
      </c>
      <c r="N264" s="140">
        <f>IF(F264&lt;&gt;"",SUMPRODUCT(($F$5:$F$304=F264)*(ROW($F$5:$F$304)&lt;ROW(F264)))+1,"")</f>
        <v/>
      </c>
      <c r="O264" s="140">
        <f>IF(F264&lt;&gt;"",TEXT(F264,"yyyymmdd")&amp;"-"&amp;N264,"")</f>
        <v/>
      </c>
    </row>
    <row r="265" ht="15" customHeight="1" s="82">
      <c r="A265" s="83" t="n"/>
      <c r="B265" s="146">
        <f>IF(C265="","","POL-"&amp;TEXT(ROW()-4,"0000"))</f>
        <v/>
      </c>
      <c r="C265" s="146" t="n"/>
      <c r="D265" s="146" t="n"/>
      <c r="E265" s="146" t="n"/>
      <c r="F265" s="147" t="n"/>
      <c r="G265" s="146" t="n"/>
      <c r="H265" s="139">
        <f>IF(OR(G265="Renewed",G265=""),0,IF(TODAY()&gt;F265,TODAY()-F265,0))</f>
        <v/>
      </c>
      <c r="I265" s="146" t="n"/>
      <c r="J265" s="146" t="n"/>
      <c r="K265" s="83" t="n"/>
      <c r="L265" s="140">
        <f>IF(AND(G265&lt;&gt;"Renewed",F265&lt;&gt;"",F265&gt;=TODAY()),SUMPRODUCT(($G$5:$G$304&lt;&gt;"Renewed")*($F$5:$F$304&lt;&gt;"")*($F$5:$F$304&gt;=TODAY())*($F$5:$F$304&lt;F265))+SUMPRODUCT(($G$5:$G$304&lt;&gt;"Renewed")*($F$5:$F$304=F265)*(ROW($F$5:$F$304)&lt;ROW(F265)))+1,"")</f>
        <v/>
      </c>
      <c r="M265" s="140">
        <f>IF(H265&gt;0,SUMPRODUCT(($H$5:$H$304&gt;H265))+SUMPRODUCT(($H$5:$H$304=H265)*(ROW($H$5:$H$304)&lt;ROW(H265)))+1,"")</f>
        <v/>
      </c>
      <c r="N265" s="140">
        <f>IF(F265&lt;&gt;"",SUMPRODUCT(($F$5:$F$304=F265)*(ROW($F$5:$F$304)&lt;ROW(F265)))+1,"")</f>
        <v/>
      </c>
      <c r="O265" s="140">
        <f>IF(F265&lt;&gt;"",TEXT(F265,"yyyymmdd")&amp;"-"&amp;N265,"")</f>
        <v/>
      </c>
    </row>
    <row r="266" ht="15" customHeight="1" s="82">
      <c r="A266" s="83" t="n"/>
      <c r="B266" s="144">
        <f>IF(C266="","","POL-"&amp;TEXT(ROW()-4,"0000"))</f>
        <v/>
      </c>
      <c r="C266" s="144" t="n"/>
      <c r="D266" s="144" t="n"/>
      <c r="E266" s="144" t="n"/>
      <c r="F266" s="145" t="n"/>
      <c r="G266" s="144" t="n"/>
      <c r="H266" s="143">
        <f>IF(OR(G266="Renewed",G266=""),0,IF(TODAY()&gt;F266,TODAY()-F266,0))</f>
        <v/>
      </c>
      <c r="I266" s="144" t="n"/>
      <c r="J266" s="144" t="n"/>
      <c r="K266" s="83" t="n"/>
      <c r="L266" s="140">
        <f>IF(AND(G266&lt;&gt;"Renewed",F266&lt;&gt;"",F266&gt;=TODAY()),SUMPRODUCT(($G$5:$G$304&lt;&gt;"Renewed")*($F$5:$F$304&lt;&gt;"")*($F$5:$F$304&gt;=TODAY())*($F$5:$F$304&lt;F266))+SUMPRODUCT(($G$5:$G$304&lt;&gt;"Renewed")*($F$5:$F$304=F266)*(ROW($F$5:$F$304)&lt;ROW(F266)))+1,"")</f>
        <v/>
      </c>
      <c r="M266" s="140">
        <f>IF(H266&gt;0,SUMPRODUCT(($H$5:$H$304&gt;H266))+SUMPRODUCT(($H$5:$H$304=H266)*(ROW($H$5:$H$304)&lt;ROW(H266)))+1,"")</f>
        <v/>
      </c>
      <c r="N266" s="140">
        <f>IF(F266&lt;&gt;"",SUMPRODUCT(($F$5:$F$304=F266)*(ROW($F$5:$F$304)&lt;ROW(F266)))+1,"")</f>
        <v/>
      </c>
      <c r="O266" s="140">
        <f>IF(F266&lt;&gt;"",TEXT(F266,"yyyymmdd")&amp;"-"&amp;N266,"")</f>
        <v/>
      </c>
    </row>
    <row r="267" ht="15" customHeight="1" s="82">
      <c r="A267" s="83" t="n"/>
      <c r="B267" s="146">
        <f>IF(C267="","","POL-"&amp;TEXT(ROW()-4,"0000"))</f>
        <v/>
      </c>
      <c r="C267" s="146" t="n"/>
      <c r="D267" s="146" t="n"/>
      <c r="E267" s="146" t="n"/>
      <c r="F267" s="147" t="n"/>
      <c r="G267" s="146" t="n"/>
      <c r="H267" s="139">
        <f>IF(OR(G267="Renewed",G267=""),0,IF(TODAY()&gt;F267,TODAY()-F267,0))</f>
        <v/>
      </c>
      <c r="I267" s="146" t="n"/>
      <c r="J267" s="146" t="n"/>
      <c r="K267" s="83" t="n"/>
      <c r="L267" s="140">
        <f>IF(AND(G267&lt;&gt;"Renewed",F267&lt;&gt;"",F267&gt;=TODAY()),SUMPRODUCT(($G$5:$G$304&lt;&gt;"Renewed")*($F$5:$F$304&lt;&gt;"")*($F$5:$F$304&gt;=TODAY())*($F$5:$F$304&lt;F267))+SUMPRODUCT(($G$5:$G$304&lt;&gt;"Renewed")*($F$5:$F$304=F267)*(ROW($F$5:$F$304)&lt;ROW(F267)))+1,"")</f>
        <v/>
      </c>
      <c r="M267" s="140">
        <f>IF(H267&gt;0,SUMPRODUCT(($H$5:$H$304&gt;H267))+SUMPRODUCT(($H$5:$H$304=H267)*(ROW($H$5:$H$304)&lt;ROW(H267)))+1,"")</f>
        <v/>
      </c>
      <c r="N267" s="140">
        <f>IF(F267&lt;&gt;"",SUMPRODUCT(($F$5:$F$304=F267)*(ROW($F$5:$F$304)&lt;ROW(F267)))+1,"")</f>
        <v/>
      </c>
      <c r="O267" s="140">
        <f>IF(F267&lt;&gt;"",TEXT(F267,"yyyymmdd")&amp;"-"&amp;N267,"")</f>
        <v/>
      </c>
    </row>
    <row r="268" ht="15" customHeight="1" s="82">
      <c r="A268" s="83" t="n"/>
      <c r="B268" s="144">
        <f>IF(C268="","","POL-"&amp;TEXT(ROW()-4,"0000"))</f>
        <v/>
      </c>
      <c r="C268" s="144" t="n"/>
      <c r="D268" s="144" t="n"/>
      <c r="E268" s="144" t="n"/>
      <c r="F268" s="145" t="n"/>
      <c r="G268" s="144" t="n"/>
      <c r="H268" s="143">
        <f>IF(OR(G268="Renewed",G268=""),0,IF(TODAY()&gt;F268,TODAY()-F268,0))</f>
        <v/>
      </c>
      <c r="I268" s="144" t="n"/>
      <c r="J268" s="144" t="n"/>
      <c r="K268" s="83" t="n"/>
      <c r="L268" s="140">
        <f>IF(AND(G268&lt;&gt;"Renewed",F268&lt;&gt;"",F268&gt;=TODAY()),SUMPRODUCT(($G$5:$G$304&lt;&gt;"Renewed")*($F$5:$F$304&lt;&gt;"")*($F$5:$F$304&gt;=TODAY())*($F$5:$F$304&lt;F268))+SUMPRODUCT(($G$5:$G$304&lt;&gt;"Renewed")*($F$5:$F$304=F268)*(ROW($F$5:$F$304)&lt;ROW(F268)))+1,"")</f>
        <v/>
      </c>
      <c r="M268" s="140">
        <f>IF(H268&gt;0,SUMPRODUCT(($H$5:$H$304&gt;H268))+SUMPRODUCT(($H$5:$H$304=H268)*(ROW($H$5:$H$304)&lt;ROW(H268)))+1,"")</f>
        <v/>
      </c>
      <c r="N268" s="140">
        <f>IF(F268&lt;&gt;"",SUMPRODUCT(($F$5:$F$304=F268)*(ROW($F$5:$F$304)&lt;ROW(F268)))+1,"")</f>
        <v/>
      </c>
      <c r="O268" s="140">
        <f>IF(F268&lt;&gt;"",TEXT(F268,"yyyymmdd")&amp;"-"&amp;N268,"")</f>
        <v/>
      </c>
    </row>
    <row r="269" ht="15" customHeight="1" s="82">
      <c r="A269" s="83" t="n"/>
      <c r="B269" s="146">
        <f>IF(C269="","","POL-"&amp;TEXT(ROW()-4,"0000"))</f>
        <v/>
      </c>
      <c r="C269" s="146" t="n"/>
      <c r="D269" s="146" t="n"/>
      <c r="E269" s="146" t="n"/>
      <c r="F269" s="147" t="n"/>
      <c r="G269" s="146" t="n"/>
      <c r="H269" s="139">
        <f>IF(OR(G269="Renewed",G269=""),0,IF(TODAY()&gt;F269,TODAY()-F269,0))</f>
        <v/>
      </c>
      <c r="I269" s="146" t="n"/>
      <c r="J269" s="146" t="n"/>
      <c r="K269" s="83" t="n"/>
      <c r="L269" s="140">
        <f>IF(AND(G269&lt;&gt;"Renewed",F269&lt;&gt;"",F269&gt;=TODAY()),SUMPRODUCT(($G$5:$G$304&lt;&gt;"Renewed")*($F$5:$F$304&lt;&gt;"")*($F$5:$F$304&gt;=TODAY())*($F$5:$F$304&lt;F269))+SUMPRODUCT(($G$5:$G$304&lt;&gt;"Renewed")*($F$5:$F$304=F269)*(ROW($F$5:$F$304)&lt;ROW(F269)))+1,"")</f>
        <v/>
      </c>
      <c r="M269" s="140">
        <f>IF(H269&gt;0,SUMPRODUCT(($H$5:$H$304&gt;H269))+SUMPRODUCT(($H$5:$H$304=H269)*(ROW($H$5:$H$304)&lt;ROW(H269)))+1,"")</f>
        <v/>
      </c>
      <c r="N269" s="140">
        <f>IF(F269&lt;&gt;"",SUMPRODUCT(($F$5:$F$304=F269)*(ROW($F$5:$F$304)&lt;ROW(F269)))+1,"")</f>
        <v/>
      </c>
      <c r="O269" s="140">
        <f>IF(F269&lt;&gt;"",TEXT(F269,"yyyymmdd")&amp;"-"&amp;N269,"")</f>
        <v/>
      </c>
    </row>
    <row r="270" ht="15" customHeight="1" s="82">
      <c r="A270" s="83" t="n"/>
      <c r="B270" s="144">
        <f>IF(C270="","","POL-"&amp;TEXT(ROW()-4,"0000"))</f>
        <v/>
      </c>
      <c r="C270" s="144" t="n"/>
      <c r="D270" s="144" t="n"/>
      <c r="E270" s="144" t="n"/>
      <c r="F270" s="145" t="n"/>
      <c r="G270" s="144" t="n"/>
      <c r="H270" s="143">
        <f>IF(OR(G270="Renewed",G270=""),0,IF(TODAY()&gt;F270,TODAY()-F270,0))</f>
        <v/>
      </c>
      <c r="I270" s="144" t="n"/>
      <c r="J270" s="144" t="n"/>
      <c r="K270" s="83" t="n"/>
      <c r="L270" s="140">
        <f>IF(AND(G270&lt;&gt;"Renewed",F270&lt;&gt;"",F270&gt;=TODAY()),SUMPRODUCT(($G$5:$G$304&lt;&gt;"Renewed")*($F$5:$F$304&lt;&gt;"")*($F$5:$F$304&gt;=TODAY())*($F$5:$F$304&lt;F270))+SUMPRODUCT(($G$5:$G$304&lt;&gt;"Renewed")*($F$5:$F$304=F270)*(ROW($F$5:$F$304)&lt;ROW(F270)))+1,"")</f>
        <v/>
      </c>
      <c r="M270" s="140">
        <f>IF(H270&gt;0,SUMPRODUCT(($H$5:$H$304&gt;H270))+SUMPRODUCT(($H$5:$H$304=H270)*(ROW($H$5:$H$304)&lt;ROW(H270)))+1,"")</f>
        <v/>
      </c>
      <c r="N270" s="140">
        <f>IF(F270&lt;&gt;"",SUMPRODUCT(($F$5:$F$304=F270)*(ROW($F$5:$F$304)&lt;ROW(F270)))+1,"")</f>
        <v/>
      </c>
      <c r="O270" s="140">
        <f>IF(F270&lt;&gt;"",TEXT(F270,"yyyymmdd")&amp;"-"&amp;N270,"")</f>
        <v/>
      </c>
    </row>
    <row r="271" ht="15" customHeight="1" s="82">
      <c r="A271" s="83" t="n"/>
      <c r="B271" s="146">
        <f>IF(C271="","","POL-"&amp;TEXT(ROW()-4,"0000"))</f>
        <v/>
      </c>
      <c r="C271" s="146" t="n"/>
      <c r="D271" s="146" t="n"/>
      <c r="E271" s="146" t="n"/>
      <c r="F271" s="147" t="n"/>
      <c r="G271" s="146" t="n"/>
      <c r="H271" s="139">
        <f>IF(OR(G271="Renewed",G271=""),0,IF(TODAY()&gt;F271,TODAY()-F271,0))</f>
        <v/>
      </c>
      <c r="I271" s="146" t="n"/>
      <c r="J271" s="146" t="n"/>
      <c r="K271" s="83" t="n"/>
      <c r="L271" s="140">
        <f>IF(AND(G271&lt;&gt;"Renewed",F271&lt;&gt;"",F271&gt;=TODAY()),SUMPRODUCT(($G$5:$G$304&lt;&gt;"Renewed")*($F$5:$F$304&lt;&gt;"")*($F$5:$F$304&gt;=TODAY())*($F$5:$F$304&lt;F271))+SUMPRODUCT(($G$5:$G$304&lt;&gt;"Renewed")*($F$5:$F$304=F271)*(ROW($F$5:$F$304)&lt;ROW(F271)))+1,"")</f>
        <v/>
      </c>
      <c r="M271" s="140">
        <f>IF(H271&gt;0,SUMPRODUCT(($H$5:$H$304&gt;H271))+SUMPRODUCT(($H$5:$H$304=H271)*(ROW($H$5:$H$304)&lt;ROW(H271)))+1,"")</f>
        <v/>
      </c>
      <c r="N271" s="140">
        <f>IF(F271&lt;&gt;"",SUMPRODUCT(($F$5:$F$304=F271)*(ROW($F$5:$F$304)&lt;ROW(F271)))+1,"")</f>
        <v/>
      </c>
      <c r="O271" s="140">
        <f>IF(F271&lt;&gt;"",TEXT(F271,"yyyymmdd")&amp;"-"&amp;N271,"")</f>
        <v/>
      </c>
    </row>
    <row r="272" ht="15" customHeight="1" s="82">
      <c r="A272" s="83" t="n"/>
      <c r="B272" s="144">
        <f>IF(C272="","","POL-"&amp;TEXT(ROW()-4,"0000"))</f>
        <v/>
      </c>
      <c r="C272" s="144" t="n"/>
      <c r="D272" s="144" t="n"/>
      <c r="E272" s="144" t="n"/>
      <c r="F272" s="145" t="n"/>
      <c r="G272" s="144" t="n"/>
      <c r="H272" s="143">
        <f>IF(OR(G272="Renewed",G272=""),0,IF(TODAY()&gt;F272,TODAY()-F272,0))</f>
        <v/>
      </c>
      <c r="I272" s="144" t="n"/>
      <c r="J272" s="144" t="n"/>
      <c r="K272" s="83" t="n"/>
      <c r="L272" s="140">
        <f>IF(AND(G272&lt;&gt;"Renewed",F272&lt;&gt;"",F272&gt;=TODAY()),SUMPRODUCT(($G$5:$G$304&lt;&gt;"Renewed")*($F$5:$F$304&lt;&gt;"")*($F$5:$F$304&gt;=TODAY())*($F$5:$F$304&lt;F272))+SUMPRODUCT(($G$5:$G$304&lt;&gt;"Renewed")*($F$5:$F$304=F272)*(ROW($F$5:$F$304)&lt;ROW(F272)))+1,"")</f>
        <v/>
      </c>
      <c r="M272" s="140">
        <f>IF(H272&gt;0,SUMPRODUCT(($H$5:$H$304&gt;H272))+SUMPRODUCT(($H$5:$H$304=H272)*(ROW($H$5:$H$304)&lt;ROW(H272)))+1,"")</f>
        <v/>
      </c>
      <c r="N272" s="140">
        <f>IF(F272&lt;&gt;"",SUMPRODUCT(($F$5:$F$304=F272)*(ROW($F$5:$F$304)&lt;ROW(F272)))+1,"")</f>
        <v/>
      </c>
      <c r="O272" s="140">
        <f>IF(F272&lt;&gt;"",TEXT(F272,"yyyymmdd")&amp;"-"&amp;N272,"")</f>
        <v/>
      </c>
    </row>
    <row r="273" ht="15" customHeight="1" s="82">
      <c r="A273" s="83" t="n"/>
      <c r="B273" s="146">
        <f>IF(C273="","","POL-"&amp;TEXT(ROW()-4,"0000"))</f>
        <v/>
      </c>
      <c r="C273" s="146" t="n"/>
      <c r="D273" s="146" t="n"/>
      <c r="E273" s="146" t="n"/>
      <c r="F273" s="147" t="n"/>
      <c r="G273" s="146" t="n"/>
      <c r="H273" s="139">
        <f>IF(OR(G273="Renewed",G273=""),0,IF(TODAY()&gt;F273,TODAY()-F273,0))</f>
        <v/>
      </c>
      <c r="I273" s="146" t="n"/>
      <c r="J273" s="146" t="n"/>
      <c r="K273" s="83" t="n"/>
      <c r="L273" s="140">
        <f>IF(AND(G273&lt;&gt;"Renewed",F273&lt;&gt;"",F273&gt;=TODAY()),SUMPRODUCT(($G$5:$G$304&lt;&gt;"Renewed")*($F$5:$F$304&lt;&gt;"")*($F$5:$F$304&gt;=TODAY())*($F$5:$F$304&lt;F273))+SUMPRODUCT(($G$5:$G$304&lt;&gt;"Renewed")*($F$5:$F$304=F273)*(ROW($F$5:$F$304)&lt;ROW(F273)))+1,"")</f>
        <v/>
      </c>
      <c r="M273" s="140">
        <f>IF(H273&gt;0,SUMPRODUCT(($H$5:$H$304&gt;H273))+SUMPRODUCT(($H$5:$H$304=H273)*(ROW($H$5:$H$304)&lt;ROW(H273)))+1,"")</f>
        <v/>
      </c>
      <c r="N273" s="140">
        <f>IF(F273&lt;&gt;"",SUMPRODUCT(($F$5:$F$304=F273)*(ROW($F$5:$F$304)&lt;ROW(F273)))+1,"")</f>
        <v/>
      </c>
      <c r="O273" s="140">
        <f>IF(F273&lt;&gt;"",TEXT(F273,"yyyymmdd")&amp;"-"&amp;N273,"")</f>
        <v/>
      </c>
    </row>
    <row r="274" ht="15" customHeight="1" s="82">
      <c r="A274" s="83" t="n"/>
      <c r="B274" s="144">
        <f>IF(C274="","","POL-"&amp;TEXT(ROW()-4,"0000"))</f>
        <v/>
      </c>
      <c r="C274" s="144" t="n"/>
      <c r="D274" s="144" t="n"/>
      <c r="E274" s="144" t="n"/>
      <c r="F274" s="145" t="n"/>
      <c r="G274" s="144" t="n"/>
      <c r="H274" s="143">
        <f>IF(OR(G274="Renewed",G274=""),0,IF(TODAY()&gt;F274,TODAY()-F274,0))</f>
        <v/>
      </c>
      <c r="I274" s="144" t="n"/>
      <c r="J274" s="144" t="n"/>
      <c r="K274" s="83" t="n"/>
      <c r="L274" s="140">
        <f>IF(AND(G274&lt;&gt;"Renewed",F274&lt;&gt;"",F274&gt;=TODAY()),SUMPRODUCT(($G$5:$G$304&lt;&gt;"Renewed")*($F$5:$F$304&lt;&gt;"")*($F$5:$F$304&gt;=TODAY())*($F$5:$F$304&lt;F274))+SUMPRODUCT(($G$5:$G$304&lt;&gt;"Renewed")*($F$5:$F$304=F274)*(ROW($F$5:$F$304)&lt;ROW(F274)))+1,"")</f>
        <v/>
      </c>
      <c r="M274" s="140">
        <f>IF(H274&gt;0,SUMPRODUCT(($H$5:$H$304&gt;H274))+SUMPRODUCT(($H$5:$H$304=H274)*(ROW($H$5:$H$304)&lt;ROW(H274)))+1,"")</f>
        <v/>
      </c>
      <c r="N274" s="140">
        <f>IF(F274&lt;&gt;"",SUMPRODUCT(($F$5:$F$304=F274)*(ROW($F$5:$F$304)&lt;ROW(F274)))+1,"")</f>
        <v/>
      </c>
      <c r="O274" s="140">
        <f>IF(F274&lt;&gt;"",TEXT(F274,"yyyymmdd")&amp;"-"&amp;N274,"")</f>
        <v/>
      </c>
    </row>
    <row r="275" ht="15" customHeight="1" s="82">
      <c r="A275" s="83" t="n"/>
      <c r="B275" s="146">
        <f>IF(C275="","","POL-"&amp;TEXT(ROW()-4,"0000"))</f>
        <v/>
      </c>
      <c r="C275" s="146" t="n"/>
      <c r="D275" s="146" t="n"/>
      <c r="E275" s="146" t="n"/>
      <c r="F275" s="147" t="n"/>
      <c r="G275" s="146" t="n"/>
      <c r="H275" s="139">
        <f>IF(OR(G275="Renewed",G275=""),0,IF(TODAY()&gt;F275,TODAY()-F275,0))</f>
        <v/>
      </c>
      <c r="I275" s="146" t="n"/>
      <c r="J275" s="146" t="n"/>
      <c r="K275" s="83" t="n"/>
      <c r="L275" s="140">
        <f>IF(AND(G275&lt;&gt;"Renewed",F275&lt;&gt;"",F275&gt;=TODAY()),SUMPRODUCT(($G$5:$G$304&lt;&gt;"Renewed")*($F$5:$F$304&lt;&gt;"")*($F$5:$F$304&gt;=TODAY())*($F$5:$F$304&lt;F275))+SUMPRODUCT(($G$5:$G$304&lt;&gt;"Renewed")*($F$5:$F$304=F275)*(ROW($F$5:$F$304)&lt;ROW(F275)))+1,"")</f>
        <v/>
      </c>
      <c r="M275" s="140">
        <f>IF(H275&gt;0,SUMPRODUCT(($H$5:$H$304&gt;H275))+SUMPRODUCT(($H$5:$H$304=H275)*(ROW($H$5:$H$304)&lt;ROW(H275)))+1,"")</f>
        <v/>
      </c>
      <c r="N275" s="140">
        <f>IF(F275&lt;&gt;"",SUMPRODUCT(($F$5:$F$304=F275)*(ROW($F$5:$F$304)&lt;ROW(F275)))+1,"")</f>
        <v/>
      </c>
      <c r="O275" s="140">
        <f>IF(F275&lt;&gt;"",TEXT(F275,"yyyymmdd")&amp;"-"&amp;N275,"")</f>
        <v/>
      </c>
    </row>
    <row r="276" ht="15" customHeight="1" s="82">
      <c r="A276" s="83" t="n"/>
      <c r="B276" s="144">
        <f>IF(C276="","","POL-"&amp;TEXT(ROW()-4,"0000"))</f>
        <v/>
      </c>
      <c r="C276" s="144" t="n"/>
      <c r="D276" s="144" t="n"/>
      <c r="E276" s="144" t="n"/>
      <c r="F276" s="145" t="n"/>
      <c r="G276" s="144" t="n"/>
      <c r="H276" s="143">
        <f>IF(OR(G276="Renewed",G276=""),0,IF(TODAY()&gt;F276,TODAY()-F276,0))</f>
        <v/>
      </c>
      <c r="I276" s="144" t="n"/>
      <c r="J276" s="144" t="n"/>
      <c r="K276" s="83" t="n"/>
      <c r="L276" s="140">
        <f>IF(AND(G276&lt;&gt;"Renewed",F276&lt;&gt;"",F276&gt;=TODAY()),SUMPRODUCT(($G$5:$G$304&lt;&gt;"Renewed")*($F$5:$F$304&lt;&gt;"")*($F$5:$F$304&gt;=TODAY())*($F$5:$F$304&lt;F276))+SUMPRODUCT(($G$5:$G$304&lt;&gt;"Renewed")*($F$5:$F$304=F276)*(ROW($F$5:$F$304)&lt;ROW(F276)))+1,"")</f>
        <v/>
      </c>
      <c r="M276" s="140">
        <f>IF(H276&gt;0,SUMPRODUCT(($H$5:$H$304&gt;H276))+SUMPRODUCT(($H$5:$H$304=H276)*(ROW($H$5:$H$304)&lt;ROW(H276)))+1,"")</f>
        <v/>
      </c>
      <c r="N276" s="140">
        <f>IF(F276&lt;&gt;"",SUMPRODUCT(($F$5:$F$304=F276)*(ROW($F$5:$F$304)&lt;ROW(F276)))+1,"")</f>
        <v/>
      </c>
      <c r="O276" s="140">
        <f>IF(F276&lt;&gt;"",TEXT(F276,"yyyymmdd")&amp;"-"&amp;N276,"")</f>
        <v/>
      </c>
    </row>
    <row r="277" ht="15" customHeight="1" s="82">
      <c r="A277" s="83" t="n"/>
      <c r="B277" s="146">
        <f>IF(C277="","","POL-"&amp;TEXT(ROW()-4,"0000"))</f>
        <v/>
      </c>
      <c r="C277" s="146" t="n"/>
      <c r="D277" s="146" t="n"/>
      <c r="E277" s="146" t="n"/>
      <c r="F277" s="147" t="n"/>
      <c r="G277" s="146" t="n"/>
      <c r="H277" s="139">
        <f>IF(OR(G277="Renewed",G277=""),0,IF(TODAY()&gt;F277,TODAY()-F277,0))</f>
        <v/>
      </c>
      <c r="I277" s="146" t="n"/>
      <c r="J277" s="146" t="n"/>
      <c r="K277" s="83" t="n"/>
      <c r="L277" s="140">
        <f>IF(AND(G277&lt;&gt;"Renewed",F277&lt;&gt;"",F277&gt;=TODAY()),SUMPRODUCT(($G$5:$G$304&lt;&gt;"Renewed")*($F$5:$F$304&lt;&gt;"")*($F$5:$F$304&gt;=TODAY())*($F$5:$F$304&lt;F277))+SUMPRODUCT(($G$5:$G$304&lt;&gt;"Renewed")*($F$5:$F$304=F277)*(ROW($F$5:$F$304)&lt;ROW(F277)))+1,"")</f>
        <v/>
      </c>
      <c r="M277" s="140">
        <f>IF(H277&gt;0,SUMPRODUCT(($H$5:$H$304&gt;H277))+SUMPRODUCT(($H$5:$H$304=H277)*(ROW($H$5:$H$304)&lt;ROW(H277)))+1,"")</f>
        <v/>
      </c>
      <c r="N277" s="140">
        <f>IF(F277&lt;&gt;"",SUMPRODUCT(($F$5:$F$304=F277)*(ROW($F$5:$F$304)&lt;ROW(F277)))+1,"")</f>
        <v/>
      </c>
      <c r="O277" s="140">
        <f>IF(F277&lt;&gt;"",TEXT(F277,"yyyymmdd")&amp;"-"&amp;N277,"")</f>
        <v/>
      </c>
    </row>
    <row r="278" ht="15" customHeight="1" s="82">
      <c r="A278" s="83" t="n"/>
      <c r="B278" s="144">
        <f>IF(C278="","","POL-"&amp;TEXT(ROW()-4,"0000"))</f>
        <v/>
      </c>
      <c r="C278" s="144" t="n"/>
      <c r="D278" s="144" t="n"/>
      <c r="E278" s="144" t="n"/>
      <c r="F278" s="145" t="n"/>
      <c r="G278" s="144" t="n"/>
      <c r="H278" s="143">
        <f>IF(OR(G278="Renewed",G278=""),0,IF(TODAY()&gt;F278,TODAY()-F278,0))</f>
        <v/>
      </c>
      <c r="I278" s="144" t="n"/>
      <c r="J278" s="144" t="n"/>
      <c r="K278" s="83" t="n"/>
      <c r="L278" s="140">
        <f>IF(AND(G278&lt;&gt;"Renewed",F278&lt;&gt;"",F278&gt;=TODAY()),SUMPRODUCT(($G$5:$G$304&lt;&gt;"Renewed")*($F$5:$F$304&lt;&gt;"")*($F$5:$F$304&gt;=TODAY())*($F$5:$F$304&lt;F278))+SUMPRODUCT(($G$5:$G$304&lt;&gt;"Renewed")*($F$5:$F$304=F278)*(ROW($F$5:$F$304)&lt;ROW(F278)))+1,"")</f>
        <v/>
      </c>
      <c r="M278" s="140">
        <f>IF(H278&gt;0,SUMPRODUCT(($H$5:$H$304&gt;H278))+SUMPRODUCT(($H$5:$H$304=H278)*(ROW($H$5:$H$304)&lt;ROW(H278)))+1,"")</f>
        <v/>
      </c>
      <c r="N278" s="140">
        <f>IF(F278&lt;&gt;"",SUMPRODUCT(($F$5:$F$304=F278)*(ROW($F$5:$F$304)&lt;ROW(F278)))+1,"")</f>
        <v/>
      </c>
      <c r="O278" s="140">
        <f>IF(F278&lt;&gt;"",TEXT(F278,"yyyymmdd")&amp;"-"&amp;N278,"")</f>
        <v/>
      </c>
    </row>
    <row r="279" ht="15" customHeight="1" s="82">
      <c r="A279" s="83" t="n"/>
      <c r="B279" s="146">
        <f>IF(C279="","","POL-"&amp;TEXT(ROW()-4,"0000"))</f>
        <v/>
      </c>
      <c r="C279" s="146" t="n"/>
      <c r="D279" s="146" t="n"/>
      <c r="E279" s="146" t="n"/>
      <c r="F279" s="147" t="n"/>
      <c r="G279" s="146" t="n"/>
      <c r="H279" s="139">
        <f>IF(OR(G279="Renewed",G279=""),0,IF(TODAY()&gt;F279,TODAY()-F279,0))</f>
        <v/>
      </c>
      <c r="I279" s="146" t="n"/>
      <c r="J279" s="146" t="n"/>
      <c r="K279" s="83" t="n"/>
      <c r="L279" s="140">
        <f>IF(AND(G279&lt;&gt;"Renewed",F279&lt;&gt;"",F279&gt;=TODAY()),SUMPRODUCT(($G$5:$G$304&lt;&gt;"Renewed")*($F$5:$F$304&lt;&gt;"")*($F$5:$F$304&gt;=TODAY())*($F$5:$F$304&lt;F279))+SUMPRODUCT(($G$5:$G$304&lt;&gt;"Renewed")*($F$5:$F$304=F279)*(ROW($F$5:$F$304)&lt;ROW(F279)))+1,"")</f>
        <v/>
      </c>
      <c r="M279" s="140">
        <f>IF(H279&gt;0,SUMPRODUCT(($H$5:$H$304&gt;H279))+SUMPRODUCT(($H$5:$H$304=H279)*(ROW($H$5:$H$304)&lt;ROW(H279)))+1,"")</f>
        <v/>
      </c>
      <c r="N279" s="140">
        <f>IF(F279&lt;&gt;"",SUMPRODUCT(($F$5:$F$304=F279)*(ROW($F$5:$F$304)&lt;ROW(F279)))+1,"")</f>
        <v/>
      </c>
      <c r="O279" s="140">
        <f>IF(F279&lt;&gt;"",TEXT(F279,"yyyymmdd")&amp;"-"&amp;N279,"")</f>
        <v/>
      </c>
    </row>
    <row r="280" ht="15" customHeight="1" s="82">
      <c r="A280" s="83" t="n"/>
      <c r="B280" s="144">
        <f>IF(C280="","","POL-"&amp;TEXT(ROW()-4,"0000"))</f>
        <v/>
      </c>
      <c r="C280" s="144" t="n"/>
      <c r="D280" s="144" t="n"/>
      <c r="E280" s="144" t="n"/>
      <c r="F280" s="145" t="n"/>
      <c r="G280" s="144" t="n"/>
      <c r="H280" s="143">
        <f>IF(OR(G280="Renewed",G280=""),0,IF(TODAY()&gt;F280,TODAY()-F280,0))</f>
        <v/>
      </c>
      <c r="I280" s="144" t="n"/>
      <c r="J280" s="144" t="n"/>
      <c r="K280" s="83" t="n"/>
      <c r="L280" s="140">
        <f>IF(AND(G280&lt;&gt;"Renewed",F280&lt;&gt;"",F280&gt;=TODAY()),SUMPRODUCT(($G$5:$G$304&lt;&gt;"Renewed")*($F$5:$F$304&lt;&gt;"")*($F$5:$F$304&gt;=TODAY())*($F$5:$F$304&lt;F280))+SUMPRODUCT(($G$5:$G$304&lt;&gt;"Renewed")*($F$5:$F$304=F280)*(ROW($F$5:$F$304)&lt;ROW(F280)))+1,"")</f>
        <v/>
      </c>
      <c r="M280" s="140">
        <f>IF(H280&gt;0,SUMPRODUCT(($H$5:$H$304&gt;H280))+SUMPRODUCT(($H$5:$H$304=H280)*(ROW($H$5:$H$304)&lt;ROW(H280)))+1,"")</f>
        <v/>
      </c>
      <c r="N280" s="140">
        <f>IF(F280&lt;&gt;"",SUMPRODUCT(($F$5:$F$304=F280)*(ROW($F$5:$F$304)&lt;ROW(F280)))+1,"")</f>
        <v/>
      </c>
      <c r="O280" s="140">
        <f>IF(F280&lt;&gt;"",TEXT(F280,"yyyymmdd")&amp;"-"&amp;N280,"")</f>
        <v/>
      </c>
    </row>
    <row r="281" ht="15" customHeight="1" s="82">
      <c r="A281" s="83" t="n"/>
      <c r="B281" s="146">
        <f>IF(C281="","","POL-"&amp;TEXT(ROW()-4,"0000"))</f>
        <v/>
      </c>
      <c r="C281" s="146" t="n"/>
      <c r="D281" s="146" t="n"/>
      <c r="E281" s="146" t="n"/>
      <c r="F281" s="147" t="n"/>
      <c r="G281" s="146" t="n"/>
      <c r="H281" s="139">
        <f>IF(OR(G281="Renewed",G281=""),0,IF(TODAY()&gt;F281,TODAY()-F281,0))</f>
        <v/>
      </c>
      <c r="I281" s="146" t="n"/>
      <c r="J281" s="146" t="n"/>
      <c r="K281" s="83" t="n"/>
      <c r="L281" s="140">
        <f>IF(AND(G281&lt;&gt;"Renewed",F281&lt;&gt;"",F281&gt;=TODAY()),SUMPRODUCT(($G$5:$G$304&lt;&gt;"Renewed")*($F$5:$F$304&lt;&gt;"")*($F$5:$F$304&gt;=TODAY())*($F$5:$F$304&lt;F281))+SUMPRODUCT(($G$5:$G$304&lt;&gt;"Renewed")*($F$5:$F$304=F281)*(ROW($F$5:$F$304)&lt;ROW(F281)))+1,"")</f>
        <v/>
      </c>
      <c r="M281" s="140">
        <f>IF(H281&gt;0,SUMPRODUCT(($H$5:$H$304&gt;H281))+SUMPRODUCT(($H$5:$H$304=H281)*(ROW($H$5:$H$304)&lt;ROW(H281)))+1,"")</f>
        <v/>
      </c>
      <c r="N281" s="140">
        <f>IF(F281&lt;&gt;"",SUMPRODUCT(($F$5:$F$304=F281)*(ROW($F$5:$F$304)&lt;ROW(F281)))+1,"")</f>
        <v/>
      </c>
      <c r="O281" s="140">
        <f>IF(F281&lt;&gt;"",TEXT(F281,"yyyymmdd")&amp;"-"&amp;N281,"")</f>
        <v/>
      </c>
    </row>
    <row r="282" ht="15" customHeight="1" s="82">
      <c r="A282" s="83" t="n"/>
      <c r="B282" s="144">
        <f>IF(C282="","","POL-"&amp;TEXT(ROW()-4,"0000"))</f>
        <v/>
      </c>
      <c r="C282" s="144" t="n"/>
      <c r="D282" s="144" t="n"/>
      <c r="E282" s="144" t="n"/>
      <c r="F282" s="145" t="n"/>
      <c r="G282" s="144" t="n"/>
      <c r="H282" s="143">
        <f>IF(OR(G282="Renewed",G282=""),0,IF(TODAY()&gt;F282,TODAY()-F282,0))</f>
        <v/>
      </c>
      <c r="I282" s="144" t="n"/>
      <c r="J282" s="144" t="n"/>
      <c r="K282" s="83" t="n"/>
      <c r="L282" s="140">
        <f>IF(AND(G282&lt;&gt;"Renewed",F282&lt;&gt;"",F282&gt;=TODAY()),SUMPRODUCT(($G$5:$G$304&lt;&gt;"Renewed")*($F$5:$F$304&lt;&gt;"")*($F$5:$F$304&gt;=TODAY())*($F$5:$F$304&lt;F282))+SUMPRODUCT(($G$5:$G$304&lt;&gt;"Renewed")*($F$5:$F$304=F282)*(ROW($F$5:$F$304)&lt;ROW(F282)))+1,"")</f>
        <v/>
      </c>
      <c r="M282" s="140">
        <f>IF(H282&gt;0,SUMPRODUCT(($H$5:$H$304&gt;H282))+SUMPRODUCT(($H$5:$H$304=H282)*(ROW($H$5:$H$304)&lt;ROW(H282)))+1,"")</f>
        <v/>
      </c>
      <c r="N282" s="140">
        <f>IF(F282&lt;&gt;"",SUMPRODUCT(($F$5:$F$304=F282)*(ROW($F$5:$F$304)&lt;ROW(F282)))+1,"")</f>
        <v/>
      </c>
      <c r="O282" s="140">
        <f>IF(F282&lt;&gt;"",TEXT(F282,"yyyymmdd")&amp;"-"&amp;N282,"")</f>
        <v/>
      </c>
    </row>
    <row r="283" ht="15" customHeight="1" s="82">
      <c r="A283" s="83" t="n"/>
      <c r="B283" s="146">
        <f>IF(C283="","","POL-"&amp;TEXT(ROW()-4,"0000"))</f>
        <v/>
      </c>
      <c r="C283" s="146" t="n"/>
      <c r="D283" s="146" t="n"/>
      <c r="E283" s="146" t="n"/>
      <c r="F283" s="147" t="n"/>
      <c r="G283" s="146" t="n"/>
      <c r="H283" s="139">
        <f>IF(OR(G283="Renewed",G283=""),0,IF(TODAY()&gt;F283,TODAY()-F283,0))</f>
        <v/>
      </c>
      <c r="I283" s="146" t="n"/>
      <c r="J283" s="146" t="n"/>
      <c r="K283" s="83" t="n"/>
      <c r="L283" s="140">
        <f>IF(AND(G283&lt;&gt;"Renewed",F283&lt;&gt;"",F283&gt;=TODAY()),SUMPRODUCT(($G$5:$G$304&lt;&gt;"Renewed")*($F$5:$F$304&lt;&gt;"")*($F$5:$F$304&gt;=TODAY())*($F$5:$F$304&lt;F283))+SUMPRODUCT(($G$5:$G$304&lt;&gt;"Renewed")*($F$5:$F$304=F283)*(ROW($F$5:$F$304)&lt;ROW(F283)))+1,"")</f>
        <v/>
      </c>
      <c r="M283" s="140">
        <f>IF(H283&gt;0,SUMPRODUCT(($H$5:$H$304&gt;H283))+SUMPRODUCT(($H$5:$H$304=H283)*(ROW($H$5:$H$304)&lt;ROW(H283)))+1,"")</f>
        <v/>
      </c>
      <c r="N283" s="140">
        <f>IF(F283&lt;&gt;"",SUMPRODUCT(($F$5:$F$304=F283)*(ROW($F$5:$F$304)&lt;ROW(F283)))+1,"")</f>
        <v/>
      </c>
      <c r="O283" s="140">
        <f>IF(F283&lt;&gt;"",TEXT(F283,"yyyymmdd")&amp;"-"&amp;N283,"")</f>
        <v/>
      </c>
    </row>
    <row r="284" ht="15" customHeight="1" s="82">
      <c r="A284" s="83" t="n"/>
      <c r="B284" s="144">
        <f>IF(C284="","","POL-"&amp;TEXT(ROW()-4,"0000"))</f>
        <v/>
      </c>
      <c r="C284" s="144" t="n"/>
      <c r="D284" s="144" t="n"/>
      <c r="E284" s="144" t="n"/>
      <c r="F284" s="145" t="n"/>
      <c r="G284" s="144" t="n"/>
      <c r="H284" s="143">
        <f>IF(OR(G284="Renewed",G284=""),0,IF(TODAY()&gt;F284,TODAY()-F284,0))</f>
        <v/>
      </c>
      <c r="I284" s="144" t="n"/>
      <c r="J284" s="144" t="n"/>
      <c r="K284" s="83" t="n"/>
      <c r="L284" s="140">
        <f>IF(AND(G284&lt;&gt;"Renewed",F284&lt;&gt;"",F284&gt;=TODAY()),SUMPRODUCT(($G$5:$G$304&lt;&gt;"Renewed")*($F$5:$F$304&lt;&gt;"")*($F$5:$F$304&gt;=TODAY())*($F$5:$F$304&lt;F284))+SUMPRODUCT(($G$5:$G$304&lt;&gt;"Renewed")*($F$5:$F$304=F284)*(ROW($F$5:$F$304)&lt;ROW(F284)))+1,"")</f>
        <v/>
      </c>
      <c r="M284" s="140">
        <f>IF(H284&gt;0,SUMPRODUCT(($H$5:$H$304&gt;H284))+SUMPRODUCT(($H$5:$H$304=H284)*(ROW($H$5:$H$304)&lt;ROW(H284)))+1,"")</f>
        <v/>
      </c>
      <c r="N284" s="140">
        <f>IF(F284&lt;&gt;"",SUMPRODUCT(($F$5:$F$304=F284)*(ROW($F$5:$F$304)&lt;ROW(F284)))+1,"")</f>
        <v/>
      </c>
      <c r="O284" s="140">
        <f>IF(F284&lt;&gt;"",TEXT(F284,"yyyymmdd")&amp;"-"&amp;N284,"")</f>
        <v/>
      </c>
    </row>
    <row r="285" ht="15" customHeight="1" s="82">
      <c r="A285" s="83" t="n"/>
      <c r="B285" s="146">
        <f>IF(C285="","","POL-"&amp;TEXT(ROW()-4,"0000"))</f>
        <v/>
      </c>
      <c r="C285" s="146" t="n"/>
      <c r="D285" s="146" t="n"/>
      <c r="E285" s="146" t="n"/>
      <c r="F285" s="147" t="n"/>
      <c r="G285" s="146" t="n"/>
      <c r="H285" s="139">
        <f>IF(OR(G285="Renewed",G285=""),0,IF(TODAY()&gt;F285,TODAY()-F285,0))</f>
        <v/>
      </c>
      <c r="I285" s="146" t="n"/>
      <c r="J285" s="146" t="n"/>
      <c r="K285" s="83" t="n"/>
      <c r="L285" s="140">
        <f>IF(AND(G285&lt;&gt;"Renewed",F285&lt;&gt;"",F285&gt;=TODAY()),SUMPRODUCT(($G$5:$G$304&lt;&gt;"Renewed")*($F$5:$F$304&lt;&gt;"")*($F$5:$F$304&gt;=TODAY())*($F$5:$F$304&lt;F285))+SUMPRODUCT(($G$5:$G$304&lt;&gt;"Renewed")*($F$5:$F$304=F285)*(ROW($F$5:$F$304)&lt;ROW(F285)))+1,"")</f>
        <v/>
      </c>
      <c r="M285" s="140">
        <f>IF(H285&gt;0,SUMPRODUCT(($H$5:$H$304&gt;H285))+SUMPRODUCT(($H$5:$H$304=H285)*(ROW($H$5:$H$304)&lt;ROW(H285)))+1,"")</f>
        <v/>
      </c>
      <c r="N285" s="140">
        <f>IF(F285&lt;&gt;"",SUMPRODUCT(($F$5:$F$304=F285)*(ROW($F$5:$F$304)&lt;ROW(F285)))+1,"")</f>
        <v/>
      </c>
      <c r="O285" s="140">
        <f>IF(F285&lt;&gt;"",TEXT(F285,"yyyymmdd")&amp;"-"&amp;N285,"")</f>
        <v/>
      </c>
    </row>
    <row r="286" ht="15" customHeight="1" s="82">
      <c r="A286" s="83" t="n"/>
      <c r="B286" s="144">
        <f>IF(C286="","","POL-"&amp;TEXT(ROW()-4,"0000"))</f>
        <v/>
      </c>
      <c r="C286" s="144" t="n"/>
      <c r="D286" s="144" t="n"/>
      <c r="E286" s="144" t="n"/>
      <c r="F286" s="145" t="n"/>
      <c r="G286" s="144" t="n"/>
      <c r="H286" s="143">
        <f>IF(OR(G286="Renewed",G286=""),0,IF(TODAY()&gt;F286,TODAY()-F286,0))</f>
        <v/>
      </c>
      <c r="I286" s="144" t="n"/>
      <c r="J286" s="144" t="n"/>
      <c r="K286" s="83" t="n"/>
      <c r="L286" s="140">
        <f>IF(AND(G286&lt;&gt;"Renewed",F286&lt;&gt;"",F286&gt;=TODAY()),SUMPRODUCT(($G$5:$G$304&lt;&gt;"Renewed")*($F$5:$F$304&lt;&gt;"")*($F$5:$F$304&gt;=TODAY())*($F$5:$F$304&lt;F286))+SUMPRODUCT(($G$5:$G$304&lt;&gt;"Renewed")*($F$5:$F$304=F286)*(ROW($F$5:$F$304)&lt;ROW(F286)))+1,"")</f>
        <v/>
      </c>
      <c r="M286" s="140">
        <f>IF(H286&gt;0,SUMPRODUCT(($H$5:$H$304&gt;H286))+SUMPRODUCT(($H$5:$H$304=H286)*(ROW($H$5:$H$304)&lt;ROW(H286)))+1,"")</f>
        <v/>
      </c>
      <c r="N286" s="140">
        <f>IF(F286&lt;&gt;"",SUMPRODUCT(($F$5:$F$304=F286)*(ROW($F$5:$F$304)&lt;ROW(F286)))+1,"")</f>
        <v/>
      </c>
      <c r="O286" s="140">
        <f>IF(F286&lt;&gt;"",TEXT(F286,"yyyymmdd")&amp;"-"&amp;N286,"")</f>
        <v/>
      </c>
    </row>
    <row r="287" ht="15" customHeight="1" s="82">
      <c r="A287" s="83" t="n"/>
      <c r="B287" s="146">
        <f>IF(C287="","","POL-"&amp;TEXT(ROW()-4,"0000"))</f>
        <v/>
      </c>
      <c r="C287" s="146" t="n"/>
      <c r="D287" s="146" t="n"/>
      <c r="E287" s="146" t="n"/>
      <c r="F287" s="147" t="n"/>
      <c r="G287" s="146" t="n"/>
      <c r="H287" s="139">
        <f>IF(OR(G287="Renewed",G287=""),0,IF(TODAY()&gt;F287,TODAY()-F287,0))</f>
        <v/>
      </c>
      <c r="I287" s="146" t="n"/>
      <c r="J287" s="146" t="n"/>
      <c r="K287" s="83" t="n"/>
      <c r="L287" s="140">
        <f>IF(AND(G287&lt;&gt;"Renewed",F287&lt;&gt;"",F287&gt;=TODAY()),SUMPRODUCT(($G$5:$G$304&lt;&gt;"Renewed")*($F$5:$F$304&lt;&gt;"")*($F$5:$F$304&gt;=TODAY())*($F$5:$F$304&lt;F287))+SUMPRODUCT(($G$5:$G$304&lt;&gt;"Renewed")*($F$5:$F$304=F287)*(ROW($F$5:$F$304)&lt;ROW(F287)))+1,"")</f>
        <v/>
      </c>
      <c r="M287" s="140">
        <f>IF(H287&gt;0,SUMPRODUCT(($H$5:$H$304&gt;H287))+SUMPRODUCT(($H$5:$H$304=H287)*(ROW($H$5:$H$304)&lt;ROW(H287)))+1,"")</f>
        <v/>
      </c>
      <c r="N287" s="140">
        <f>IF(F287&lt;&gt;"",SUMPRODUCT(($F$5:$F$304=F287)*(ROW($F$5:$F$304)&lt;ROW(F287)))+1,"")</f>
        <v/>
      </c>
      <c r="O287" s="140">
        <f>IF(F287&lt;&gt;"",TEXT(F287,"yyyymmdd")&amp;"-"&amp;N287,"")</f>
        <v/>
      </c>
    </row>
    <row r="288" ht="15" customHeight="1" s="82">
      <c r="A288" s="83" t="n"/>
      <c r="B288" s="144">
        <f>IF(C288="","","POL-"&amp;TEXT(ROW()-4,"0000"))</f>
        <v/>
      </c>
      <c r="C288" s="144" t="n"/>
      <c r="D288" s="144" t="n"/>
      <c r="E288" s="144" t="n"/>
      <c r="F288" s="145" t="n"/>
      <c r="G288" s="144" t="n"/>
      <c r="H288" s="143">
        <f>IF(OR(G288="Renewed",G288=""),0,IF(TODAY()&gt;F288,TODAY()-F288,0))</f>
        <v/>
      </c>
      <c r="I288" s="144" t="n"/>
      <c r="J288" s="144" t="n"/>
      <c r="K288" s="83" t="n"/>
      <c r="L288" s="140">
        <f>IF(AND(G288&lt;&gt;"Renewed",F288&lt;&gt;"",F288&gt;=TODAY()),SUMPRODUCT(($G$5:$G$304&lt;&gt;"Renewed")*($F$5:$F$304&lt;&gt;"")*($F$5:$F$304&gt;=TODAY())*($F$5:$F$304&lt;F288))+SUMPRODUCT(($G$5:$G$304&lt;&gt;"Renewed")*($F$5:$F$304=F288)*(ROW($F$5:$F$304)&lt;ROW(F288)))+1,"")</f>
        <v/>
      </c>
      <c r="M288" s="140">
        <f>IF(H288&gt;0,SUMPRODUCT(($H$5:$H$304&gt;H288))+SUMPRODUCT(($H$5:$H$304=H288)*(ROW($H$5:$H$304)&lt;ROW(H288)))+1,"")</f>
        <v/>
      </c>
      <c r="N288" s="140">
        <f>IF(F288&lt;&gt;"",SUMPRODUCT(($F$5:$F$304=F288)*(ROW($F$5:$F$304)&lt;ROW(F288)))+1,"")</f>
        <v/>
      </c>
      <c r="O288" s="140">
        <f>IF(F288&lt;&gt;"",TEXT(F288,"yyyymmdd")&amp;"-"&amp;N288,"")</f>
        <v/>
      </c>
    </row>
    <row r="289" ht="15" customHeight="1" s="82">
      <c r="A289" s="83" t="n"/>
      <c r="B289" s="146">
        <f>IF(C289="","","POL-"&amp;TEXT(ROW()-4,"0000"))</f>
        <v/>
      </c>
      <c r="C289" s="146" t="n"/>
      <c r="D289" s="146" t="n"/>
      <c r="E289" s="146" t="n"/>
      <c r="F289" s="147" t="n"/>
      <c r="G289" s="146" t="n"/>
      <c r="H289" s="139">
        <f>IF(OR(G289="Renewed",G289=""),0,IF(TODAY()&gt;F289,TODAY()-F289,0))</f>
        <v/>
      </c>
      <c r="I289" s="146" t="n"/>
      <c r="J289" s="146" t="n"/>
      <c r="K289" s="83" t="n"/>
      <c r="L289" s="140">
        <f>IF(AND(G289&lt;&gt;"Renewed",F289&lt;&gt;"",F289&gt;=TODAY()),SUMPRODUCT(($G$5:$G$304&lt;&gt;"Renewed")*($F$5:$F$304&lt;&gt;"")*($F$5:$F$304&gt;=TODAY())*($F$5:$F$304&lt;F289))+SUMPRODUCT(($G$5:$G$304&lt;&gt;"Renewed")*($F$5:$F$304=F289)*(ROW($F$5:$F$304)&lt;ROW(F289)))+1,"")</f>
        <v/>
      </c>
      <c r="M289" s="140">
        <f>IF(H289&gt;0,SUMPRODUCT(($H$5:$H$304&gt;H289))+SUMPRODUCT(($H$5:$H$304=H289)*(ROW($H$5:$H$304)&lt;ROW(H289)))+1,"")</f>
        <v/>
      </c>
      <c r="N289" s="140">
        <f>IF(F289&lt;&gt;"",SUMPRODUCT(($F$5:$F$304=F289)*(ROW($F$5:$F$304)&lt;ROW(F289)))+1,"")</f>
        <v/>
      </c>
      <c r="O289" s="140">
        <f>IF(F289&lt;&gt;"",TEXT(F289,"yyyymmdd")&amp;"-"&amp;N289,"")</f>
        <v/>
      </c>
    </row>
    <row r="290" ht="15" customHeight="1" s="82">
      <c r="A290" s="83" t="n"/>
      <c r="B290" s="144">
        <f>IF(C290="","","POL-"&amp;TEXT(ROW()-4,"0000"))</f>
        <v/>
      </c>
      <c r="C290" s="144" t="n"/>
      <c r="D290" s="144" t="n"/>
      <c r="E290" s="144" t="n"/>
      <c r="F290" s="145" t="n"/>
      <c r="G290" s="144" t="n"/>
      <c r="H290" s="143">
        <f>IF(OR(G290="Renewed",G290=""),0,IF(TODAY()&gt;F290,TODAY()-F290,0))</f>
        <v/>
      </c>
      <c r="I290" s="144" t="n"/>
      <c r="J290" s="144" t="n"/>
      <c r="K290" s="83" t="n"/>
      <c r="L290" s="140">
        <f>IF(AND(G290&lt;&gt;"Renewed",F290&lt;&gt;"",F290&gt;=TODAY()),SUMPRODUCT(($G$5:$G$304&lt;&gt;"Renewed")*($F$5:$F$304&lt;&gt;"")*($F$5:$F$304&gt;=TODAY())*($F$5:$F$304&lt;F290))+SUMPRODUCT(($G$5:$G$304&lt;&gt;"Renewed")*($F$5:$F$304=F290)*(ROW($F$5:$F$304)&lt;ROW(F290)))+1,"")</f>
        <v/>
      </c>
      <c r="M290" s="140">
        <f>IF(H290&gt;0,SUMPRODUCT(($H$5:$H$304&gt;H290))+SUMPRODUCT(($H$5:$H$304=H290)*(ROW($H$5:$H$304)&lt;ROW(H290)))+1,"")</f>
        <v/>
      </c>
      <c r="N290" s="140">
        <f>IF(F290&lt;&gt;"",SUMPRODUCT(($F$5:$F$304=F290)*(ROW($F$5:$F$304)&lt;ROW(F290)))+1,"")</f>
        <v/>
      </c>
      <c r="O290" s="140">
        <f>IF(F290&lt;&gt;"",TEXT(F290,"yyyymmdd")&amp;"-"&amp;N290,"")</f>
        <v/>
      </c>
    </row>
    <row r="291" ht="15" customHeight="1" s="82">
      <c r="A291" s="83" t="n"/>
      <c r="B291" s="146">
        <f>IF(C291="","","POL-"&amp;TEXT(ROW()-4,"0000"))</f>
        <v/>
      </c>
      <c r="C291" s="146" t="n"/>
      <c r="D291" s="146" t="n"/>
      <c r="E291" s="146" t="n"/>
      <c r="F291" s="147" t="n"/>
      <c r="G291" s="146" t="n"/>
      <c r="H291" s="139">
        <f>IF(OR(G291="Renewed",G291=""),0,IF(TODAY()&gt;F291,TODAY()-F291,0))</f>
        <v/>
      </c>
      <c r="I291" s="146" t="n"/>
      <c r="J291" s="146" t="n"/>
      <c r="K291" s="83" t="n"/>
      <c r="L291" s="140">
        <f>IF(AND(G291&lt;&gt;"Renewed",F291&lt;&gt;"",F291&gt;=TODAY()),SUMPRODUCT(($G$5:$G$304&lt;&gt;"Renewed")*($F$5:$F$304&lt;&gt;"")*($F$5:$F$304&gt;=TODAY())*($F$5:$F$304&lt;F291))+SUMPRODUCT(($G$5:$G$304&lt;&gt;"Renewed")*($F$5:$F$304=F291)*(ROW($F$5:$F$304)&lt;ROW(F291)))+1,"")</f>
        <v/>
      </c>
      <c r="M291" s="140">
        <f>IF(H291&gt;0,SUMPRODUCT(($H$5:$H$304&gt;H291))+SUMPRODUCT(($H$5:$H$304=H291)*(ROW($H$5:$H$304)&lt;ROW(H291)))+1,"")</f>
        <v/>
      </c>
      <c r="N291" s="140">
        <f>IF(F291&lt;&gt;"",SUMPRODUCT(($F$5:$F$304=F291)*(ROW($F$5:$F$304)&lt;ROW(F291)))+1,"")</f>
        <v/>
      </c>
      <c r="O291" s="140">
        <f>IF(F291&lt;&gt;"",TEXT(F291,"yyyymmdd")&amp;"-"&amp;N291,"")</f>
        <v/>
      </c>
    </row>
    <row r="292" ht="15" customHeight="1" s="82">
      <c r="A292" s="83" t="n"/>
      <c r="B292" s="144">
        <f>IF(C292="","","POL-"&amp;TEXT(ROW()-4,"0000"))</f>
        <v/>
      </c>
      <c r="C292" s="144" t="n"/>
      <c r="D292" s="144" t="n"/>
      <c r="E292" s="144" t="n"/>
      <c r="F292" s="145" t="n"/>
      <c r="G292" s="144" t="n"/>
      <c r="H292" s="143">
        <f>IF(OR(G292="Renewed",G292=""),0,IF(TODAY()&gt;F292,TODAY()-F292,0))</f>
        <v/>
      </c>
      <c r="I292" s="144" t="n"/>
      <c r="J292" s="144" t="n"/>
      <c r="K292" s="83" t="n"/>
      <c r="L292" s="140">
        <f>IF(AND(G292&lt;&gt;"Renewed",F292&lt;&gt;"",F292&gt;=TODAY()),SUMPRODUCT(($G$5:$G$304&lt;&gt;"Renewed")*($F$5:$F$304&lt;&gt;"")*($F$5:$F$304&gt;=TODAY())*($F$5:$F$304&lt;F292))+SUMPRODUCT(($G$5:$G$304&lt;&gt;"Renewed")*($F$5:$F$304=F292)*(ROW($F$5:$F$304)&lt;ROW(F292)))+1,"")</f>
        <v/>
      </c>
      <c r="M292" s="140">
        <f>IF(H292&gt;0,SUMPRODUCT(($H$5:$H$304&gt;H292))+SUMPRODUCT(($H$5:$H$304=H292)*(ROW($H$5:$H$304)&lt;ROW(H292)))+1,"")</f>
        <v/>
      </c>
      <c r="N292" s="140">
        <f>IF(F292&lt;&gt;"",SUMPRODUCT(($F$5:$F$304=F292)*(ROW($F$5:$F$304)&lt;ROW(F292)))+1,"")</f>
        <v/>
      </c>
      <c r="O292" s="140">
        <f>IF(F292&lt;&gt;"",TEXT(F292,"yyyymmdd")&amp;"-"&amp;N292,"")</f>
        <v/>
      </c>
    </row>
    <row r="293" ht="15" customHeight="1" s="82">
      <c r="A293" s="83" t="n"/>
      <c r="B293" s="146">
        <f>IF(C293="","","POL-"&amp;TEXT(ROW()-4,"0000"))</f>
        <v/>
      </c>
      <c r="C293" s="146" t="n"/>
      <c r="D293" s="146" t="n"/>
      <c r="E293" s="146" t="n"/>
      <c r="F293" s="147" t="n"/>
      <c r="G293" s="146" t="n"/>
      <c r="H293" s="139">
        <f>IF(OR(G293="Renewed",G293=""),0,IF(TODAY()&gt;F293,TODAY()-F293,0))</f>
        <v/>
      </c>
      <c r="I293" s="146" t="n"/>
      <c r="J293" s="146" t="n"/>
      <c r="K293" s="83" t="n"/>
      <c r="L293" s="140">
        <f>IF(AND(G293&lt;&gt;"Renewed",F293&lt;&gt;"",F293&gt;=TODAY()),SUMPRODUCT(($G$5:$G$304&lt;&gt;"Renewed")*($F$5:$F$304&lt;&gt;"")*($F$5:$F$304&gt;=TODAY())*($F$5:$F$304&lt;F293))+SUMPRODUCT(($G$5:$G$304&lt;&gt;"Renewed")*($F$5:$F$304=F293)*(ROW($F$5:$F$304)&lt;ROW(F293)))+1,"")</f>
        <v/>
      </c>
      <c r="M293" s="140">
        <f>IF(H293&gt;0,SUMPRODUCT(($H$5:$H$304&gt;H293))+SUMPRODUCT(($H$5:$H$304=H293)*(ROW($H$5:$H$304)&lt;ROW(H293)))+1,"")</f>
        <v/>
      </c>
      <c r="N293" s="140">
        <f>IF(F293&lt;&gt;"",SUMPRODUCT(($F$5:$F$304=F293)*(ROW($F$5:$F$304)&lt;ROW(F293)))+1,"")</f>
        <v/>
      </c>
      <c r="O293" s="140">
        <f>IF(F293&lt;&gt;"",TEXT(F293,"yyyymmdd")&amp;"-"&amp;N293,"")</f>
        <v/>
      </c>
    </row>
    <row r="294" ht="15" customHeight="1" s="82">
      <c r="A294" s="83" t="n"/>
      <c r="B294" s="144">
        <f>IF(C294="","","POL-"&amp;TEXT(ROW()-4,"0000"))</f>
        <v/>
      </c>
      <c r="C294" s="144" t="n"/>
      <c r="D294" s="144" t="n"/>
      <c r="E294" s="144" t="n"/>
      <c r="F294" s="145" t="n"/>
      <c r="G294" s="144" t="n"/>
      <c r="H294" s="143">
        <f>IF(OR(G294="Renewed",G294=""),0,IF(TODAY()&gt;F294,TODAY()-F294,0))</f>
        <v/>
      </c>
      <c r="I294" s="144" t="n"/>
      <c r="J294" s="144" t="n"/>
      <c r="K294" s="83" t="n"/>
      <c r="L294" s="140">
        <f>IF(AND(G294&lt;&gt;"Renewed",F294&lt;&gt;"",F294&gt;=TODAY()),SUMPRODUCT(($G$5:$G$304&lt;&gt;"Renewed")*($F$5:$F$304&lt;&gt;"")*($F$5:$F$304&gt;=TODAY())*($F$5:$F$304&lt;F294))+SUMPRODUCT(($G$5:$G$304&lt;&gt;"Renewed")*($F$5:$F$304=F294)*(ROW($F$5:$F$304)&lt;ROW(F294)))+1,"")</f>
        <v/>
      </c>
      <c r="M294" s="140">
        <f>IF(H294&gt;0,SUMPRODUCT(($H$5:$H$304&gt;H294))+SUMPRODUCT(($H$5:$H$304=H294)*(ROW($H$5:$H$304)&lt;ROW(H294)))+1,"")</f>
        <v/>
      </c>
      <c r="N294" s="140">
        <f>IF(F294&lt;&gt;"",SUMPRODUCT(($F$5:$F$304=F294)*(ROW($F$5:$F$304)&lt;ROW(F294)))+1,"")</f>
        <v/>
      </c>
      <c r="O294" s="140">
        <f>IF(F294&lt;&gt;"",TEXT(F294,"yyyymmdd")&amp;"-"&amp;N294,"")</f>
        <v/>
      </c>
    </row>
    <row r="295" ht="15" customHeight="1" s="82">
      <c r="A295" s="83" t="n"/>
      <c r="B295" s="146">
        <f>IF(C295="","","POL-"&amp;TEXT(ROW()-4,"0000"))</f>
        <v/>
      </c>
      <c r="C295" s="146" t="n"/>
      <c r="D295" s="146" t="n"/>
      <c r="E295" s="146" t="n"/>
      <c r="F295" s="147" t="n"/>
      <c r="G295" s="146" t="n"/>
      <c r="H295" s="139">
        <f>IF(OR(G295="Renewed",G295=""),0,IF(TODAY()&gt;F295,TODAY()-F295,0))</f>
        <v/>
      </c>
      <c r="I295" s="146" t="n"/>
      <c r="J295" s="146" t="n"/>
      <c r="K295" s="83" t="n"/>
      <c r="L295" s="140">
        <f>IF(AND(G295&lt;&gt;"Renewed",F295&lt;&gt;"",F295&gt;=TODAY()),SUMPRODUCT(($G$5:$G$304&lt;&gt;"Renewed")*($F$5:$F$304&lt;&gt;"")*($F$5:$F$304&gt;=TODAY())*($F$5:$F$304&lt;F295))+SUMPRODUCT(($G$5:$G$304&lt;&gt;"Renewed")*($F$5:$F$304=F295)*(ROW($F$5:$F$304)&lt;ROW(F295)))+1,"")</f>
        <v/>
      </c>
      <c r="M295" s="140">
        <f>IF(H295&gt;0,SUMPRODUCT(($H$5:$H$304&gt;H295))+SUMPRODUCT(($H$5:$H$304=H295)*(ROW($H$5:$H$304)&lt;ROW(H295)))+1,"")</f>
        <v/>
      </c>
      <c r="N295" s="140">
        <f>IF(F295&lt;&gt;"",SUMPRODUCT(($F$5:$F$304=F295)*(ROW($F$5:$F$304)&lt;ROW(F295)))+1,"")</f>
        <v/>
      </c>
      <c r="O295" s="140">
        <f>IF(F295&lt;&gt;"",TEXT(F295,"yyyymmdd")&amp;"-"&amp;N295,"")</f>
        <v/>
      </c>
    </row>
    <row r="296" ht="15" customHeight="1" s="82">
      <c r="A296" s="83" t="n"/>
      <c r="B296" s="144">
        <f>IF(C296="","","POL-"&amp;TEXT(ROW()-4,"0000"))</f>
        <v/>
      </c>
      <c r="C296" s="144" t="n"/>
      <c r="D296" s="144" t="n"/>
      <c r="E296" s="144" t="n"/>
      <c r="F296" s="145" t="n"/>
      <c r="G296" s="144" t="n"/>
      <c r="H296" s="143">
        <f>IF(OR(G296="Renewed",G296=""),0,IF(TODAY()&gt;F296,TODAY()-F296,0))</f>
        <v/>
      </c>
      <c r="I296" s="144" t="n"/>
      <c r="J296" s="144" t="n"/>
      <c r="K296" s="83" t="n"/>
      <c r="L296" s="140">
        <f>IF(AND(G296&lt;&gt;"Renewed",F296&lt;&gt;"",F296&gt;=TODAY()),SUMPRODUCT(($G$5:$G$304&lt;&gt;"Renewed")*($F$5:$F$304&lt;&gt;"")*($F$5:$F$304&gt;=TODAY())*($F$5:$F$304&lt;F296))+SUMPRODUCT(($G$5:$G$304&lt;&gt;"Renewed")*($F$5:$F$304=F296)*(ROW($F$5:$F$304)&lt;ROW(F296)))+1,"")</f>
        <v/>
      </c>
      <c r="M296" s="140">
        <f>IF(H296&gt;0,SUMPRODUCT(($H$5:$H$304&gt;H296))+SUMPRODUCT(($H$5:$H$304=H296)*(ROW($H$5:$H$304)&lt;ROW(H296)))+1,"")</f>
        <v/>
      </c>
      <c r="N296" s="140">
        <f>IF(F296&lt;&gt;"",SUMPRODUCT(($F$5:$F$304=F296)*(ROW($F$5:$F$304)&lt;ROW(F296)))+1,"")</f>
        <v/>
      </c>
      <c r="O296" s="140">
        <f>IF(F296&lt;&gt;"",TEXT(F296,"yyyymmdd")&amp;"-"&amp;N296,"")</f>
        <v/>
      </c>
    </row>
    <row r="297" ht="15" customHeight="1" s="82">
      <c r="A297" s="83" t="n"/>
      <c r="B297" s="146">
        <f>IF(C297="","","POL-"&amp;TEXT(ROW()-4,"0000"))</f>
        <v/>
      </c>
      <c r="C297" s="146" t="n"/>
      <c r="D297" s="146" t="n"/>
      <c r="E297" s="146" t="n"/>
      <c r="F297" s="147" t="n"/>
      <c r="G297" s="146" t="n"/>
      <c r="H297" s="139">
        <f>IF(OR(G297="Renewed",G297=""),0,IF(TODAY()&gt;F297,TODAY()-F297,0))</f>
        <v/>
      </c>
      <c r="I297" s="146" t="n"/>
      <c r="J297" s="146" t="n"/>
      <c r="K297" s="83" t="n"/>
      <c r="L297" s="140">
        <f>IF(AND(G297&lt;&gt;"Renewed",F297&lt;&gt;"",F297&gt;=TODAY()),SUMPRODUCT(($G$5:$G$304&lt;&gt;"Renewed")*($F$5:$F$304&lt;&gt;"")*($F$5:$F$304&gt;=TODAY())*($F$5:$F$304&lt;F297))+SUMPRODUCT(($G$5:$G$304&lt;&gt;"Renewed")*($F$5:$F$304=F297)*(ROW($F$5:$F$304)&lt;ROW(F297)))+1,"")</f>
        <v/>
      </c>
      <c r="M297" s="140">
        <f>IF(H297&gt;0,SUMPRODUCT(($H$5:$H$304&gt;H297))+SUMPRODUCT(($H$5:$H$304=H297)*(ROW($H$5:$H$304)&lt;ROW(H297)))+1,"")</f>
        <v/>
      </c>
      <c r="N297" s="140">
        <f>IF(F297&lt;&gt;"",SUMPRODUCT(($F$5:$F$304=F297)*(ROW($F$5:$F$304)&lt;ROW(F297)))+1,"")</f>
        <v/>
      </c>
      <c r="O297" s="140">
        <f>IF(F297&lt;&gt;"",TEXT(F297,"yyyymmdd")&amp;"-"&amp;N297,"")</f>
        <v/>
      </c>
    </row>
    <row r="298" ht="15" customHeight="1" s="82">
      <c r="A298" s="83" t="n"/>
      <c r="B298" s="144">
        <f>IF(C298="","","POL-"&amp;TEXT(ROW()-4,"0000"))</f>
        <v/>
      </c>
      <c r="C298" s="144" t="n"/>
      <c r="D298" s="144" t="n"/>
      <c r="E298" s="144" t="n"/>
      <c r="F298" s="145" t="n"/>
      <c r="G298" s="144" t="n"/>
      <c r="H298" s="143">
        <f>IF(OR(G298="Renewed",G298=""),0,IF(TODAY()&gt;F298,TODAY()-F298,0))</f>
        <v/>
      </c>
      <c r="I298" s="144" t="n"/>
      <c r="J298" s="144" t="n"/>
      <c r="K298" s="83" t="n"/>
      <c r="L298" s="140">
        <f>IF(AND(G298&lt;&gt;"Renewed",F298&lt;&gt;"",F298&gt;=TODAY()),SUMPRODUCT(($G$5:$G$304&lt;&gt;"Renewed")*($F$5:$F$304&lt;&gt;"")*($F$5:$F$304&gt;=TODAY())*($F$5:$F$304&lt;F298))+SUMPRODUCT(($G$5:$G$304&lt;&gt;"Renewed")*($F$5:$F$304=F298)*(ROW($F$5:$F$304)&lt;ROW(F298)))+1,"")</f>
        <v/>
      </c>
      <c r="M298" s="140">
        <f>IF(H298&gt;0,SUMPRODUCT(($H$5:$H$304&gt;H298))+SUMPRODUCT(($H$5:$H$304=H298)*(ROW($H$5:$H$304)&lt;ROW(H298)))+1,"")</f>
        <v/>
      </c>
      <c r="N298" s="140">
        <f>IF(F298&lt;&gt;"",SUMPRODUCT(($F$5:$F$304=F298)*(ROW($F$5:$F$304)&lt;ROW(F298)))+1,"")</f>
        <v/>
      </c>
      <c r="O298" s="140">
        <f>IF(F298&lt;&gt;"",TEXT(F298,"yyyymmdd")&amp;"-"&amp;N298,"")</f>
        <v/>
      </c>
    </row>
    <row r="299" ht="15" customHeight="1" s="82">
      <c r="A299" s="83" t="n"/>
      <c r="B299" s="146">
        <f>IF(C299="","","POL-"&amp;TEXT(ROW()-4,"0000"))</f>
        <v/>
      </c>
      <c r="C299" s="146" t="n"/>
      <c r="D299" s="146" t="n"/>
      <c r="E299" s="146" t="n"/>
      <c r="F299" s="147" t="n"/>
      <c r="G299" s="146" t="n"/>
      <c r="H299" s="139">
        <f>IF(OR(G299="Renewed",G299=""),0,IF(TODAY()&gt;F299,TODAY()-F299,0))</f>
        <v/>
      </c>
      <c r="I299" s="146" t="n"/>
      <c r="J299" s="146" t="n"/>
      <c r="K299" s="83" t="n"/>
      <c r="L299" s="140">
        <f>IF(AND(G299&lt;&gt;"Renewed",F299&lt;&gt;"",F299&gt;=TODAY()),SUMPRODUCT(($G$5:$G$304&lt;&gt;"Renewed")*($F$5:$F$304&lt;&gt;"")*($F$5:$F$304&gt;=TODAY())*($F$5:$F$304&lt;F299))+SUMPRODUCT(($G$5:$G$304&lt;&gt;"Renewed")*($F$5:$F$304=F299)*(ROW($F$5:$F$304)&lt;ROW(F299)))+1,"")</f>
        <v/>
      </c>
      <c r="M299" s="140">
        <f>IF(H299&gt;0,SUMPRODUCT(($H$5:$H$304&gt;H299))+SUMPRODUCT(($H$5:$H$304=H299)*(ROW($H$5:$H$304)&lt;ROW(H299)))+1,"")</f>
        <v/>
      </c>
      <c r="N299" s="140">
        <f>IF(F299&lt;&gt;"",SUMPRODUCT(($F$5:$F$304=F299)*(ROW($F$5:$F$304)&lt;ROW(F299)))+1,"")</f>
        <v/>
      </c>
      <c r="O299" s="140">
        <f>IF(F299&lt;&gt;"",TEXT(F299,"yyyymmdd")&amp;"-"&amp;N299,"")</f>
        <v/>
      </c>
    </row>
    <row r="300" ht="15" customHeight="1" s="82">
      <c r="A300" s="83" t="n"/>
      <c r="B300" s="144">
        <f>IF(C300="","","POL-"&amp;TEXT(ROW()-4,"0000"))</f>
        <v/>
      </c>
      <c r="C300" s="144" t="n"/>
      <c r="D300" s="144" t="n"/>
      <c r="E300" s="144" t="n"/>
      <c r="F300" s="145" t="n"/>
      <c r="G300" s="144" t="n"/>
      <c r="H300" s="143">
        <f>IF(OR(G300="Renewed",G300=""),0,IF(TODAY()&gt;F300,TODAY()-F300,0))</f>
        <v/>
      </c>
      <c r="I300" s="144" t="n"/>
      <c r="J300" s="144" t="n"/>
      <c r="K300" s="83" t="n"/>
      <c r="L300" s="140">
        <f>IF(AND(G300&lt;&gt;"Renewed",F300&lt;&gt;"",F300&gt;=TODAY()),SUMPRODUCT(($G$5:$G$304&lt;&gt;"Renewed")*($F$5:$F$304&lt;&gt;"")*($F$5:$F$304&gt;=TODAY())*($F$5:$F$304&lt;F300))+SUMPRODUCT(($G$5:$G$304&lt;&gt;"Renewed")*($F$5:$F$304=F300)*(ROW($F$5:$F$304)&lt;ROW(F300)))+1,"")</f>
        <v/>
      </c>
      <c r="M300" s="140">
        <f>IF(H300&gt;0,SUMPRODUCT(($H$5:$H$304&gt;H300))+SUMPRODUCT(($H$5:$H$304=H300)*(ROW($H$5:$H$304)&lt;ROW(H300)))+1,"")</f>
        <v/>
      </c>
      <c r="N300" s="140">
        <f>IF(F300&lt;&gt;"",SUMPRODUCT(($F$5:$F$304=F300)*(ROW($F$5:$F$304)&lt;ROW(F300)))+1,"")</f>
        <v/>
      </c>
      <c r="O300" s="140">
        <f>IF(F300&lt;&gt;"",TEXT(F300,"yyyymmdd")&amp;"-"&amp;N300,"")</f>
        <v/>
      </c>
    </row>
    <row r="301" ht="15" customHeight="1" s="82">
      <c r="A301" s="83" t="n"/>
      <c r="B301" s="146">
        <f>IF(C301="","","POL-"&amp;TEXT(ROW()-4,"0000"))</f>
        <v/>
      </c>
      <c r="C301" s="146" t="n"/>
      <c r="D301" s="146" t="n"/>
      <c r="E301" s="146" t="n"/>
      <c r="F301" s="147" t="n"/>
      <c r="G301" s="146" t="n"/>
      <c r="H301" s="139">
        <f>IF(OR(G301="Renewed",G301=""),0,IF(TODAY()&gt;F301,TODAY()-F301,0))</f>
        <v/>
      </c>
      <c r="I301" s="146" t="n"/>
      <c r="J301" s="146" t="n"/>
      <c r="K301" s="83" t="n"/>
      <c r="L301" s="140">
        <f>IF(AND(G301&lt;&gt;"Renewed",F301&lt;&gt;"",F301&gt;=TODAY()),SUMPRODUCT(($G$5:$G$304&lt;&gt;"Renewed")*($F$5:$F$304&lt;&gt;"")*($F$5:$F$304&gt;=TODAY())*($F$5:$F$304&lt;F301))+SUMPRODUCT(($G$5:$G$304&lt;&gt;"Renewed")*($F$5:$F$304=F301)*(ROW($F$5:$F$304)&lt;ROW(F301)))+1,"")</f>
        <v/>
      </c>
      <c r="M301" s="140">
        <f>IF(H301&gt;0,SUMPRODUCT(($H$5:$H$304&gt;H301))+SUMPRODUCT(($H$5:$H$304=H301)*(ROW($H$5:$H$304)&lt;ROW(H301)))+1,"")</f>
        <v/>
      </c>
      <c r="N301" s="140">
        <f>IF(F301&lt;&gt;"",SUMPRODUCT(($F$5:$F$304=F301)*(ROW($F$5:$F$304)&lt;ROW(F301)))+1,"")</f>
        <v/>
      </c>
      <c r="O301" s="140">
        <f>IF(F301&lt;&gt;"",TEXT(F301,"yyyymmdd")&amp;"-"&amp;N301,"")</f>
        <v/>
      </c>
    </row>
    <row r="302" ht="15" customHeight="1" s="82">
      <c r="A302" s="83" t="n"/>
      <c r="B302" s="144">
        <f>IF(C302="","","POL-"&amp;TEXT(ROW()-4,"0000"))</f>
        <v/>
      </c>
      <c r="C302" s="144" t="n"/>
      <c r="D302" s="144" t="n"/>
      <c r="E302" s="144" t="n"/>
      <c r="F302" s="145" t="n"/>
      <c r="G302" s="144" t="n"/>
      <c r="H302" s="143">
        <f>IF(OR(G302="Renewed",G302=""),0,IF(TODAY()&gt;F302,TODAY()-F302,0))</f>
        <v/>
      </c>
      <c r="I302" s="144" t="n"/>
      <c r="J302" s="144" t="n"/>
      <c r="K302" s="83" t="n"/>
      <c r="L302" s="140">
        <f>IF(AND(G302&lt;&gt;"Renewed",F302&lt;&gt;"",F302&gt;=TODAY()),SUMPRODUCT(($G$5:$G$304&lt;&gt;"Renewed")*($F$5:$F$304&lt;&gt;"")*($F$5:$F$304&gt;=TODAY())*($F$5:$F$304&lt;F302))+SUMPRODUCT(($G$5:$G$304&lt;&gt;"Renewed")*($F$5:$F$304=F302)*(ROW($F$5:$F$304)&lt;ROW(F302)))+1,"")</f>
        <v/>
      </c>
      <c r="M302" s="140">
        <f>IF(H302&gt;0,SUMPRODUCT(($H$5:$H$304&gt;H302))+SUMPRODUCT(($H$5:$H$304=H302)*(ROW($H$5:$H$304)&lt;ROW(H302)))+1,"")</f>
        <v/>
      </c>
      <c r="N302" s="140">
        <f>IF(F302&lt;&gt;"",SUMPRODUCT(($F$5:$F$304=F302)*(ROW($F$5:$F$304)&lt;ROW(F302)))+1,"")</f>
        <v/>
      </c>
      <c r="O302" s="140">
        <f>IF(F302&lt;&gt;"",TEXT(F302,"yyyymmdd")&amp;"-"&amp;N302,"")</f>
        <v/>
      </c>
    </row>
    <row r="303" ht="15" customHeight="1" s="82">
      <c r="A303" s="83" t="n"/>
      <c r="B303" s="146">
        <f>IF(C303="","","POL-"&amp;TEXT(ROW()-4,"0000"))</f>
        <v/>
      </c>
      <c r="C303" s="146" t="n"/>
      <c r="D303" s="146" t="n"/>
      <c r="E303" s="146" t="n"/>
      <c r="F303" s="147" t="n"/>
      <c r="G303" s="146" t="n"/>
      <c r="H303" s="139">
        <f>IF(OR(G303="Renewed",G303=""),0,IF(TODAY()&gt;F303,TODAY()-F303,0))</f>
        <v/>
      </c>
      <c r="I303" s="146" t="n"/>
      <c r="J303" s="146" t="n"/>
      <c r="K303" s="83" t="n"/>
      <c r="L303" s="140">
        <f>IF(AND(G303&lt;&gt;"Renewed",F303&lt;&gt;"",F303&gt;=TODAY()),SUMPRODUCT(($G$5:$G$304&lt;&gt;"Renewed")*($F$5:$F$304&lt;&gt;"")*($F$5:$F$304&gt;=TODAY())*($F$5:$F$304&lt;F303))+SUMPRODUCT(($G$5:$G$304&lt;&gt;"Renewed")*($F$5:$F$304=F303)*(ROW($F$5:$F$304)&lt;ROW(F303)))+1,"")</f>
        <v/>
      </c>
      <c r="M303" s="140">
        <f>IF(H303&gt;0,SUMPRODUCT(($H$5:$H$304&gt;H303))+SUMPRODUCT(($H$5:$H$304=H303)*(ROW($H$5:$H$304)&lt;ROW(H303)))+1,"")</f>
        <v/>
      </c>
      <c r="N303" s="140">
        <f>IF(F303&lt;&gt;"",SUMPRODUCT(($F$5:$F$304=F303)*(ROW($F$5:$F$304)&lt;ROW(F303)))+1,"")</f>
        <v/>
      </c>
      <c r="O303" s="140">
        <f>IF(F303&lt;&gt;"",TEXT(F303,"yyyymmdd")&amp;"-"&amp;N303,"")</f>
        <v/>
      </c>
    </row>
    <row r="304" ht="15" customHeight="1" s="82">
      <c r="A304" s="83" t="n"/>
      <c r="B304" s="144">
        <f>IF(C304="","","POL-"&amp;TEXT(ROW()-4,"0000"))</f>
        <v/>
      </c>
      <c r="C304" s="144" t="n"/>
      <c r="D304" s="144" t="n"/>
      <c r="E304" s="144" t="n"/>
      <c r="F304" s="145" t="n"/>
      <c r="G304" s="144" t="n"/>
      <c r="H304" s="143">
        <f>IF(OR(G304="Renewed",G304=""),0,IF(TODAY()&gt;F304,TODAY()-F304,0))</f>
        <v/>
      </c>
      <c r="I304" s="144" t="n"/>
      <c r="J304" s="144" t="n"/>
      <c r="K304" s="83" t="n"/>
      <c r="L304" s="140">
        <f>IF(AND(G304&lt;&gt;"Renewed",F304&lt;&gt;"",F304&gt;=TODAY()),SUMPRODUCT(($G$5:$G$304&lt;&gt;"Renewed")*($F$5:$F$304&lt;&gt;"")*($F$5:$F$304&gt;=TODAY())*($F$5:$F$304&lt;F304))+SUMPRODUCT(($G$5:$G$304&lt;&gt;"Renewed")*($F$5:$F$304=F304)*(ROW($F$5:$F$304)&lt;ROW(F304)))+1,"")</f>
        <v/>
      </c>
      <c r="M304" s="140">
        <f>IF(H304&gt;0,SUMPRODUCT(($H$5:$H$304&gt;H304))+SUMPRODUCT(($H$5:$H$304=H304)*(ROW($H$5:$H$304)&lt;ROW(H304)))+1,"")</f>
        <v/>
      </c>
      <c r="N304" s="140">
        <f>IF(F304&lt;&gt;"",SUMPRODUCT(($F$5:$F$304=F304)*(ROW($F$5:$F$304)&lt;ROW(F304)))+1,"")</f>
        <v/>
      </c>
      <c r="O304" s="140">
        <f>IF(F304&lt;&gt;"",TEXT(F304,"yyyymmdd")&amp;"-"&amp;N304,"")</f>
        <v/>
      </c>
    </row>
    <row r="305" ht="15" customHeight="1" s="82">
      <c r="A305" s="83" t="n"/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N305" s="83" t="n"/>
      <c r="O305" s="83" t="n"/>
    </row>
    <row r="306" ht="15" customHeight="1" s="82">
      <c r="A306" s="83" t="n"/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N306" s="83" t="n"/>
      <c r="O306" s="83" t="n"/>
    </row>
    <row r="307" ht="15" customHeight="1" s="82">
      <c r="A307" s="83" t="n"/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N307" s="83" t="n"/>
      <c r="O307" s="83" t="n"/>
    </row>
    <row r="308" ht="15" customHeight="1" s="82">
      <c r="A308" s="83" t="n"/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N308" s="83" t="n"/>
      <c r="O308" s="83" t="n"/>
    </row>
    <row r="309" ht="15" customHeight="1" s="82">
      <c r="A309" s="83" t="n"/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N309" s="83" t="n"/>
      <c r="O309" s="83" t="n"/>
    </row>
    <row r="310" ht="15" customHeight="1" s="82">
      <c r="A310" s="83" t="n"/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N310" s="83" t="n"/>
      <c r="O310" s="83" t="n"/>
    </row>
  </sheetData>
  <autoFilter ref="B4:J304"/>
  <mergeCells count="2">
    <mergeCell ref="A3:J3"/>
    <mergeCell ref="A2:J2"/>
  </mergeCells>
  <conditionalFormatting sqref="G5:G304">
    <cfRule type="cellIs" rank="0" priority="2" equalAverage="0" operator="equal" aboveAverage="0" dxfId="10" text="" percent="0" bottom="0">
      <formula>"Renewed"</formula>
    </cfRule>
    <cfRule type="cellIs" rank="0" priority="3" equalAverage="0" operator="equal" aboveAverage="0" dxfId="11" text="" percent="0" bottom="0">
      <formula>"Not Renewed"</formula>
    </cfRule>
  </conditionalFormatting>
  <conditionalFormatting sqref="F5:F304">
    <cfRule type="expression" rank="0" priority="4" equalAverage="0" aboveAverage="0" dxfId="12" text="" percent="0" bottom="0">
      <formula>AND($G5&lt;&gt;"Renewed",$F5&lt;TODAY())</formula>
    </cfRule>
    <cfRule type="expression" rank="0" priority="5" equalAverage="0" aboveAverage="0" dxfId="13" text="" percent="0" bottom="0">
      <formula>AND($G5&lt;&gt;"Renewed",$F5=TODAY())</formula>
    </cfRule>
    <cfRule type="expression" rank="0" priority="6" equalAverage="0" aboveAverage="0" dxfId="14" text="" percent="0" bottom="0">
      <formula>AND($G5&lt;&gt;"Renewed",$F5&gt;TODAY(),$F5&lt;=TODAY()+7)</formula>
    </cfRule>
    <cfRule type="expression" rank="0" priority="7" equalAverage="0" aboveAverage="0" dxfId="15" text="" percent="0" bottom="0">
      <formula>AND($G5&lt;&gt;"Renewed",$F5&gt;TODAY()+7,$F5&lt;=TODAY()+14)</formula>
    </cfRule>
    <cfRule type="expression" rank="0" priority="8" equalAverage="0" aboveAverage="0" dxfId="16" text="" percent="0" bottom="0">
      <formula>AND($G5&lt;&gt;"Renewed",$F5&gt;TODAY()+14,$F5&lt;=TODAY()+30)</formula>
    </cfRule>
  </conditionalFormatting>
  <conditionalFormatting sqref="H5:H304">
    <cfRule type="cellIs" rank="0" priority="9" equalAverage="0" operator="greaterThan" aboveAverage="0" dxfId="12" text="" percent="0" bottom="0">
      <formula>0</formula>
    </cfRule>
  </conditionalFormatting>
  <dataValidations count="2">
    <dataValidation sqref="D5:D304" showDropDown="0" showInputMessage="0" showErrorMessage="0" allowBlank="1" errorTitle="Invalid Insurance Class" error="Please choose a class from the dropdown list." type="list" errorStyle="stop" operator="between">
      <formula1>"Motor,Fire,Medical,Public Liability,WIBA"</formula1>
      <formula2>0</formula2>
    </dataValidation>
    <dataValidation sqref="G5:G304" showDropDown="0" showInputMessage="0" showErrorMessage="0" allowBlank="1" errorTitle="Invalid Status" error="Please choose Renewed or Not Renewed." type="list" errorStyle="stop" operator="between">
      <formula1>"Renewed,Not Renewed"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B9457"/>
    <outlinePr summaryBelow="1" summaryRight="1"/>
    <pageSetUpPr fitToPage="0"/>
  </sheetPr>
  <dimension ref="A1:F5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81" min="1" max="1"/>
    <col width="20" customWidth="1" style="81" min="2" max="2"/>
    <col width="14" customWidth="1" style="81" min="3" max="3"/>
    <col width="20" customWidth="1" style="81" min="4" max="4"/>
    <col width="40" customWidth="1" style="81" min="5" max="5"/>
    <col width="2" customWidth="1" style="81" min="6" max="6"/>
  </cols>
  <sheetData>
    <row r="1" ht="6" customHeight="1" s="82">
      <c r="A1" s="83" t="n"/>
      <c r="B1" s="83" t="n"/>
      <c r="C1" s="83" t="n"/>
      <c r="D1" s="83" t="n"/>
      <c r="E1" s="83" t="n"/>
      <c r="F1" s="83" t="n"/>
    </row>
    <row r="2" ht="33.75" customHeight="1" s="82">
      <c r="A2" s="148" t="inlineStr">
        <is>
          <t xml:space="preserve">  📝 ACTIVITY LOG  —  Automated record of every renewal action</t>
        </is>
      </c>
      <c r="F2" s="83" t="n"/>
    </row>
    <row r="3" ht="19.5" customHeight="1" s="82">
      <c r="A3" s="149" t="inlineStr">
        <is>
          <t xml:space="preserve">  Written automatically by the tracker  ·  Do not edit manually</t>
        </is>
      </c>
      <c r="F3" s="83" t="n"/>
    </row>
    <row r="4" ht="15" customHeight="1" s="82">
      <c r="A4" s="83" t="n"/>
      <c r="B4" s="150" t="inlineStr">
        <is>
          <t>TIMESTAMP</t>
        </is>
      </c>
      <c r="C4" s="150" t="inlineStr">
        <is>
          <t>POLICY ID</t>
        </is>
      </c>
      <c r="D4" s="150" t="inlineStr">
        <is>
          <t>ACTION</t>
        </is>
      </c>
      <c r="E4" s="150" t="inlineStr">
        <is>
          <t>NOTES</t>
        </is>
      </c>
      <c r="F4" s="83" t="n"/>
    </row>
    <row r="5" ht="15" customHeight="1" s="82">
      <c r="A5" s="83" t="n"/>
      <c r="B5" s="110" t="n"/>
      <c r="C5" s="110" t="n"/>
      <c r="D5" s="110" t="n"/>
      <c r="E5" s="110" t="n"/>
      <c r="F5" s="83" t="n"/>
    </row>
    <row r="6" ht="15" customHeight="1" s="82">
      <c r="A6" s="83" t="n"/>
      <c r="B6" s="151" t="n"/>
      <c r="C6" s="151" t="n"/>
      <c r="D6" s="151" t="n"/>
      <c r="E6" s="151" t="n"/>
      <c r="F6" s="83" t="n"/>
    </row>
    <row r="7" ht="15" customHeight="1" s="82">
      <c r="A7" s="83" t="n"/>
      <c r="B7" s="110" t="n"/>
      <c r="C7" s="110" t="n"/>
      <c r="D7" s="110" t="n"/>
      <c r="E7" s="110" t="n"/>
      <c r="F7" s="83" t="n"/>
    </row>
    <row r="8" ht="15" customHeight="1" s="82">
      <c r="A8" s="83" t="n"/>
      <c r="B8" s="151" t="n"/>
      <c r="C8" s="151" t="n"/>
      <c r="D8" s="151" t="n"/>
      <c r="E8" s="151" t="n"/>
      <c r="F8" s="83" t="n"/>
    </row>
    <row r="9" ht="15" customHeight="1" s="82">
      <c r="A9" s="83" t="n"/>
      <c r="B9" s="110" t="n"/>
      <c r="C9" s="110" t="n"/>
      <c r="D9" s="110" t="n"/>
      <c r="E9" s="110" t="n"/>
      <c r="F9" s="83" t="n"/>
    </row>
    <row r="10" ht="15" customHeight="1" s="82">
      <c r="A10" s="83" t="n"/>
      <c r="B10" s="151" t="n"/>
      <c r="C10" s="151" t="n"/>
      <c r="D10" s="151" t="n"/>
      <c r="E10" s="151" t="n"/>
      <c r="F10" s="83" t="n"/>
    </row>
    <row r="11" ht="15" customHeight="1" s="82">
      <c r="A11" s="83" t="n"/>
      <c r="B11" s="110" t="n"/>
      <c r="C11" s="110" t="n"/>
      <c r="D11" s="110" t="n"/>
      <c r="E11" s="110" t="n"/>
      <c r="F11" s="83" t="n"/>
    </row>
    <row r="12" ht="15" customHeight="1" s="82">
      <c r="A12" s="83" t="n"/>
      <c r="B12" s="151" t="n"/>
      <c r="C12" s="151" t="n"/>
      <c r="D12" s="151" t="n"/>
      <c r="E12" s="151" t="n"/>
      <c r="F12" s="83" t="n"/>
    </row>
    <row r="13" ht="15" customHeight="1" s="82">
      <c r="A13" s="83" t="n"/>
      <c r="B13" s="110" t="n"/>
      <c r="C13" s="110" t="n"/>
      <c r="D13" s="110" t="n"/>
      <c r="E13" s="110" t="n"/>
      <c r="F13" s="83" t="n"/>
    </row>
    <row r="14" ht="15" customHeight="1" s="82">
      <c r="A14" s="83" t="n"/>
      <c r="B14" s="151" t="n"/>
      <c r="C14" s="151" t="n"/>
      <c r="D14" s="151" t="n"/>
      <c r="E14" s="151" t="n"/>
      <c r="F14" s="83" t="n"/>
    </row>
    <row r="15" ht="15" customHeight="1" s="82">
      <c r="A15" s="83" t="n"/>
      <c r="B15" s="110" t="n"/>
      <c r="C15" s="110" t="n"/>
      <c r="D15" s="110" t="n"/>
      <c r="E15" s="110" t="n"/>
      <c r="F15" s="83" t="n"/>
    </row>
    <row r="16" ht="15" customHeight="1" s="82">
      <c r="A16" s="83" t="n"/>
      <c r="B16" s="151" t="n"/>
      <c r="C16" s="151" t="n"/>
      <c r="D16" s="151" t="n"/>
      <c r="E16" s="151" t="n"/>
      <c r="F16" s="83" t="n"/>
    </row>
    <row r="17" ht="15" customHeight="1" s="82">
      <c r="A17" s="83" t="n"/>
      <c r="B17" s="110" t="n"/>
      <c r="C17" s="110" t="n"/>
      <c r="D17" s="110" t="n"/>
      <c r="E17" s="110" t="n"/>
      <c r="F17" s="83" t="n"/>
    </row>
    <row r="18" ht="15" customHeight="1" s="82">
      <c r="A18" s="83" t="n"/>
      <c r="B18" s="151" t="n"/>
      <c r="C18" s="151" t="n"/>
      <c r="D18" s="151" t="n"/>
      <c r="E18" s="151" t="n"/>
      <c r="F18" s="83" t="n"/>
    </row>
    <row r="19" ht="15" customHeight="1" s="82">
      <c r="A19" s="83" t="n"/>
      <c r="B19" s="110" t="n"/>
      <c r="C19" s="110" t="n"/>
      <c r="D19" s="110" t="n"/>
      <c r="E19" s="110" t="n"/>
      <c r="F19" s="83" t="n"/>
    </row>
    <row r="20" ht="15" customHeight="1" s="82">
      <c r="A20" s="83" t="n"/>
      <c r="B20" s="151" t="n"/>
      <c r="C20" s="151" t="n"/>
      <c r="D20" s="151" t="n"/>
      <c r="E20" s="151" t="n"/>
      <c r="F20" s="83" t="n"/>
    </row>
    <row r="21" ht="15" customHeight="1" s="82">
      <c r="A21" s="83" t="n"/>
      <c r="B21" s="110" t="n"/>
      <c r="C21" s="110" t="n"/>
      <c r="D21" s="110" t="n"/>
      <c r="E21" s="110" t="n"/>
      <c r="F21" s="83" t="n"/>
    </row>
    <row r="22" ht="15" customHeight="1" s="82">
      <c r="A22" s="83" t="n"/>
      <c r="B22" s="151" t="n"/>
      <c r="C22" s="151" t="n"/>
      <c r="D22" s="151" t="n"/>
      <c r="E22" s="151" t="n"/>
      <c r="F22" s="83" t="n"/>
    </row>
    <row r="23" ht="15" customHeight="1" s="82">
      <c r="A23" s="83" t="n"/>
      <c r="B23" s="110" t="n"/>
      <c r="C23" s="110" t="n"/>
      <c r="D23" s="110" t="n"/>
      <c r="E23" s="110" t="n"/>
      <c r="F23" s="83" t="n"/>
    </row>
    <row r="24" ht="15" customHeight="1" s="82">
      <c r="A24" s="83" t="n"/>
      <c r="B24" s="151" t="n"/>
      <c r="C24" s="151" t="n"/>
      <c r="D24" s="151" t="n"/>
      <c r="E24" s="151" t="n"/>
      <c r="F24" s="83" t="n"/>
    </row>
    <row r="25" ht="15" customHeight="1" s="82">
      <c r="A25" s="83" t="n"/>
      <c r="B25" s="110" t="n"/>
      <c r="C25" s="110" t="n"/>
      <c r="D25" s="110" t="n"/>
      <c r="E25" s="110" t="n"/>
      <c r="F25" s="83" t="n"/>
    </row>
    <row r="26" ht="15" customHeight="1" s="82">
      <c r="A26" s="83" t="n"/>
      <c r="B26" s="151" t="n"/>
      <c r="C26" s="151" t="n"/>
      <c r="D26" s="151" t="n"/>
      <c r="E26" s="151" t="n"/>
      <c r="F26" s="83" t="n"/>
    </row>
    <row r="27" ht="15" customHeight="1" s="82">
      <c r="A27" s="83" t="n"/>
      <c r="B27" s="110" t="n"/>
      <c r="C27" s="110" t="n"/>
      <c r="D27" s="110" t="n"/>
      <c r="E27" s="110" t="n"/>
      <c r="F27" s="83" t="n"/>
    </row>
    <row r="28" ht="15" customHeight="1" s="82">
      <c r="A28" s="83" t="n"/>
      <c r="B28" s="151" t="n"/>
      <c r="C28" s="151" t="n"/>
      <c r="D28" s="151" t="n"/>
      <c r="E28" s="151" t="n"/>
      <c r="F28" s="83" t="n"/>
    </row>
    <row r="29" ht="15" customHeight="1" s="82">
      <c r="A29" s="83" t="n"/>
      <c r="B29" s="110" t="n"/>
      <c r="C29" s="110" t="n"/>
      <c r="D29" s="110" t="n"/>
      <c r="E29" s="110" t="n"/>
      <c r="F29" s="83" t="n"/>
    </row>
    <row r="30" ht="15" customHeight="1" s="82">
      <c r="A30" s="83" t="n"/>
      <c r="B30" s="151" t="n"/>
      <c r="C30" s="151" t="n"/>
      <c r="D30" s="151" t="n"/>
      <c r="E30" s="151" t="n"/>
      <c r="F30" s="83" t="n"/>
    </row>
    <row r="31" ht="15" customHeight="1" s="82">
      <c r="A31" s="83" t="n"/>
      <c r="B31" s="110" t="n"/>
      <c r="C31" s="110" t="n"/>
      <c r="D31" s="110" t="n"/>
      <c r="E31" s="110" t="n"/>
      <c r="F31" s="83" t="n"/>
    </row>
    <row r="32" ht="15" customHeight="1" s="82">
      <c r="A32" s="83" t="n"/>
      <c r="B32" s="151" t="n"/>
      <c r="C32" s="151" t="n"/>
      <c r="D32" s="151" t="n"/>
      <c r="E32" s="151" t="n"/>
      <c r="F32" s="83" t="n"/>
    </row>
    <row r="33" ht="15" customHeight="1" s="82">
      <c r="A33" s="83" t="n"/>
      <c r="B33" s="110" t="n"/>
      <c r="C33" s="110" t="n"/>
      <c r="D33" s="110" t="n"/>
      <c r="E33" s="110" t="n"/>
      <c r="F33" s="83" t="n"/>
    </row>
    <row r="34" ht="15" customHeight="1" s="82">
      <c r="A34" s="83" t="n"/>
      <c r="B34" s="151" t="n"/>
      <c r="C34" s="151" t="n"/>
      <c r="D34" s="151" t="n"/>
      <c r="E34" s="151" t="n"/>
      <c r="F34" s="83" t="n"/>
    </row>
    <row r="35" ht="15" customHeight="1" s="82">
      <c r="A35" s="83" t="n"/>
      <c r="B35" s="110" t="n"/>
      <c r="C35" s="110" t="n"/>
      <c r="D35" s="110" t="n"/>
      <c r="E35" s="110" t="n"/>
      <c r="F35" s="83" t="n"/>
    </row>
    <row r="36" ht="15" customHeight="1" s="82">
      <c r="A36" s="83" t="n"/>
      <c r="B36" s="151" t="n"/>
      <c r="C36" s="151" t="n"/>
      <c r="D36" s="151" t="n"/>
      <c r="E36" s="151" t="n"/>
      <c r="F36" s="83" t="n"/>
    </row>
    <row r="37" ht="15" customHeight="1" s="82">
      <c r="A37" s="83" t="n"/>
      <c r="B37" s="110" t="n"/>
      <c r="C37" s="110" t="n"/>
      <c r="D37" s="110" t="n"/>
      <c r="E37" s="110" t="n"/>
      <c r="F37" s="83" t="n"/>
    </row>
    <row r="38" ht="15" customHeight="1" s="82">
      <c r="A38" s="83" t="n"/>
      <c r="B38" s="151" t="n"/>
      <c r="C38" s="151" t="n"/>
      <c r="D38" s="151" t="n"/>
      <c r="E38" s="151" t="n"/>
      <c r="F38" s="83" t="n"/>
    </row>
    <row r="39" ht="15" customHeight="1" s="82">
      <c r="A39" s="83" t="n"/>
      <c r="B39" s="110" t="n"/>
      <c r="C39" s="110" t="n"/>
      <c r="D39" s="110" t="n"/>
      <c r="E39" s="110" t="n"/>
      <c r="F39" s="83" t="n"/>
    </row>
    <row r="40" ht="15" customHeight="1" s="82">
      <c r="A40" s="83" t="n"/>
      <c r="B40" s="151" t="n"/>
      <c r="C40" s="151" t="n"/>
      <c r="D40" s="151" t="n"/>
      <c r="E40" s="151" t="n"/>
      <c r="F40" s="83" t="n"/>
    </row>
    <row r="41" ht="15" customHeight="1" s="82">
      <c r="A41" s="83" t="n"/>
      <c r="B41" s="110" t="n"/>
      <c r="C41" s="110" t="n"/>
      <c r="D41" s="110" t="n"/>
      <c r="E41" s="110" t="n"/>
      <c r="F41" s="83" t="n"/>
    </row>
    <row r="42" ht="15" customHeight="1" s="82">
      <c r="A42" s="83" t="n"/>
      <c r="B42" s="151" t="n"/>
      <c r="C42" s="151" t="n"/>
      <c r="D42" s="151" t="n"/>
      <c r="E42" s="151" t="n"/>
      <c r="F42" s="83" t="n"/>
    </row>
    <row r="43" ht="15" customHeight="1" s="82">
      <c r="A43" s="83" t="n"/>
      <c r="B43" s="110" t="n"/>
      <c r="C43" s="110" t="n"/>
      <c r="D43" s="110" t="n"/>
      <c r="E43" s="110" t="n"/>
      <c r="F43" s="83" t="n"/>
    </row>
    <row r="44" ht="15" customHeight="1" s="82">
      <c r="A44" s="83" t="n"/>
      <c r="B44" s="151" t="n"/>
      <c r="C44" s="151" t="n"/>
      <c r="D44" s="151" t="n"/>
      <c r="E44" s="151" t="n"/>
      <c r="F44" s="83" t="n"/>
    </row>
    <row r="45" ht="15" customHeight="1" s="82">
      <c r="A45" s="83" t="n"/>
      <c r="B45" s="110" t="n"/>
      <c r="C45" s="110" t="n"/>
      <c r="D45" s="110" t="n"/>
      <c r="E45" s="110" t="n"/>
      <c r="F45" s="83" t="n"/>
    </row>
    <row r="46" ht="15" customHeight="1" s="82">
      <c r="A46" s="83" t="n"/>
      <c r="B46" s="151" t="n"/>
      <c r="C46" s="151" t="n"/>
      <c r="D46" s="151" t="n"/>
      <c r="E46" s="151" t="n"/>
      <c r="F46" s="83" t="n"/>
    </row>
    <row r="47" ht="15" customHeight="1" s="82">
      <c r="A47" s="83" t="n"/>
      <c r="B47" s="110" t="n"/>
      <c r="C47" s="110" t="n"/>
      <c r="D47" s="110" t="n"/>
      <c r="E47" s="110" t="n"/>
      <c r="F47" s="83" t="n"/>
    </row>
    <row r="48" ht="15" customHeight="1" s="82">
      <c r="A48" s="83" t="n"/>
      <c r="B48" s="151" t="n"/>
      <c r="C48" s="151" t="n"/>
      <c r="D48" s="151" t="n"/>
      <c r="E48" s="151" t="n"/>
      <c r="F48" s="83" t="n"/>
    </row>
    <row r="49" ht="15" customHeight="1" s="82">
      <c r="A49" s="83" t="n"/>
      <c r="B49" s="110" t="n"/>
      <c r="C49" s="110" t="n"/>
      <c r="D49" s="110" t="n"/>
      <c r="E49" s="110" t="n"/>
      <c r="F49" s="83" t="n"/>
    </row>
    <row r="50" ht="15" customHeight="1" s="82">
      <c r="A50" s="83" t="n"/>
      <c r="B50" s="151" t="n"/>
      <c r="C50" s="151" t="n"/>
      <c r="D50" s="151" t="n"/>
      <c r="E50" s="151" t="n"/>
      <c r="F50" s="83" t="n"/>
    </row>
    <row r="51" ht="15" customHeight="1" s="82">
      <c r="A51" s="83" t="n"/>
      <c r="B51" s="110" t="n"/>
      <c r="C51" s="110" t="n"/>
      <c r="D51" s="110" t="n"/>
      <c r="E51" s="110" t="n"/>
      <c r="F51" s="83" t="n"/>
    </row>
    <row r="52" ht="15" customHeight="1" s="82">
      <c r="A52" s="83" t="n"/>
      <c r="B52" s="151" t="n"/>
      <c r="C52" s="151" t="n"/>
      <c r="D52" s="151" t="n"/>
      <c r="E52" s="151" t="n"/>
      <c r="F52" s="83" t="n"/>
    </row>
    <row r="53" ht="15" customHeight="1" s="82">
      <c r="A53" s="83" t="n"/>
      <c r="B53" s="110" t="n"/>
      <c r="C53" s="110" t="n"/>
      <c r="D53" s="110" t="n"/>
      <c r="E53" s="110" t="n"/>
      <c r="F53" s="83" t="n"/>
    </row>
    <row r="54" ht="15" customHeight="1" s="82">
      <c r="A54" s="83" t="n"/>
      <c r="B54" s="151" t="n"/>
      <c r="C54" s="151" t="n"/>
      <c r="D54" s="151" t="n"/>
      <c r="E54" s="151" t="n"/>
      <c r="F54" s="83" t="n"/>
    </row>
    <row r="55" ht="15" customHeight="1" s="82">
      <c r="A55" s="83" t="n"/>
      <c r="B55" s="110" t="n"/>
      <c r="C55" s="110" t="n"/>
      <c r="D55" s="110" t="n"/>
      <c r="E55" s="110" t="n"/>
      <c r="F55" s="83" t="n"/>
    </row>
    <row r="56" ht="15" customHeight="1" s="82">
      <c r="A56" s="83" t="n"/>
      <c r="B56" s="151" t="n"/>
      <c r="C56" s="151" t="n"/>
      <c r="D56" s="151" t="n"/>
      <c r="E56" s="151" t="n"/>
      <c r="F56" s="83" t="n"/>
    </row>
    <row r="57" ht="15" customHeight="1" s="82">
      <c r="A57" s="83" t="n"/>
      <c r="B57" s="110" t="n"/>
      <c r="C57" s="110" t="n"/>
      <c r="D57" s="110" t="n"/>
      <c r="E57" s="110" t="n"/>
      <c r="F57" s="83" t="n"/>
    </row>
    <row r="58" ht="15" customHeight="1" s="82">
      <c r="A58" s="83" t="n"/>
      <c r="B58" s="151" t="n"/>
      <c r="C58" s="151" t="n"/>
      <c r="D58" s="151" t="n"/>
      <c r="E58" s="151" t="n"/>
      <c r="F58" s="83" t="n"/>
    </row>
    <row r="59" ht="15" customHeight="1" s="82">
      <c r="A59" s="83" t="n"/>
      <c r="B59" s="110" t="n"/>
      <c r="C59" s="110" t="n"/>
      <c r="D59" s="110" t="n"/>
      <c r="E59" s="110" t="n"/>
      <c r="F59" s="83" t="n"/>
    </row>
    <row r="60" ht="15" customHeight="1" s="82">
      <c r="A60" s="83" t="n"/>
      <c r="B60" s="151" t="n"/>
      <c r="C60" s="151" t="n"/>
      <c r="D60" s="151" t="n"/>
      <c r="E60" s="151" t="n"/>
      <c r="F60" s="83" t="n"/>
    </row>
    <row r="61" ht="15" customHeight="1" s="82">
      <c r="A61" s="83" t="n"/>
      <c r="B61" s="110" t="n"/>
      <c r="C61" s="110" t="n"/>
      <c r="D61" s="110" t="n"/>
      <c r="E61" s="110" t="n"/>
      <c r="F61" s="83" t="n"/>
    </row>
    <row r="62" ht="15" customHeight="1" s="82">
      <c r="A62" s="83" t="n"/>
      <c r="B62" s="151" t="n"/>
      <c r="C62" s="151" t="n"/>
      <c r="D62" s="151" t="n"/>
      <c r="E62" s="151" t="n"/>
      <c r="F62" s="83" t="n"/>
    </row>
    <row r="63" ht="15" customHeight="1" s="82">
      <c r="A63" s="83" t="n"/>
      <c r="B63" s="110" t="n"/>
      <c r="C63" s="110" t="n"/>
      <c r="D63" s="110" t="n"/>
      <c r="E63" s="110" t="n"/>
      <c r="F63" s="83" t="n"/>
    </row>
    <row r="64" ht="15" customHeight="1" s="82">
      <c r="A64" s="83" t="n"/>
      <c r="B64" s="151" t="n"/>
      <c r="C64" s="151" t="n"/>
      <c r="D64" s="151" t="n"/>
      <c r="E64" s="151" t="n"/>
      <c r="F64" s="83" t="n"/>
    </row>
    <row r="65" ht="15" customHeight="1" s="82">
      <c r="A65" s="83" t="n"/>
      <c r="B65" s="110" t="n"/>
      <c r="C65" s="110" t="n"/>
      <c r="D65" s="110" t="n"/>
      <c r="E65" s="110" t="n"/>
      <c r="F65" s="83" t="n"/>
    </row>
    <row r="66" ht="15" customHeight="1" s="82">
      <c r="A66" s="83" t="n"/>
      <c r="B66" s="151" t="n"/>
      <c r="C66" s="151" t="n"/>
      <c r="D66" s="151" t="n"/>
      <c r="E66" s="151" t="n"/>
      <c r="F66" s="83" t="n"/>
    </row>
    <row r="67" ht="15" customHeight="1" s="82">
      <c r="A67" s="83" t="n"/>
      <c r="B67" s="110" t="n"/>
      <c r="C67" s="110" t="n"/>
      <c r="D67" s="110" t="n"/>
      <c r="E67" s="110" t="n"/>
      <c r="F67" s="83" t="n"/>
    </row>
    <row r="68" ht="15" customHeight="1" s="82">
      <c r="A68" s="83" t="n"/>
      <c r="B68" s="151" t="n"/>
      <c r="C68" s="151" t="n"/>
      <c r="D68" s="151" t="n"/>
      <c r="E68" s="151" t="n"/>
      <c r="F68" s="83" t="n"/>
    </row>
    <row r="69" ht="15" customHeight="1" s="82">
      <c r="A69" s="83" t="n"/>
      <c r="B69" s="110" t="n"/>
      <c r="C69" s="110" t="n"/>
      <c r="D69" s="110" t="n"/>
      <c r="E69" s="110" t="n"/>
      <c r="F69" s="83" t="n"/>
    </row>
    <row r="70" ht="15" customHeight="1" s="82">
      <c r="A70" s="83" t="n"/>
      <c r="B70" s="151" t="n"/>
      <c r="C70" s="151" t="n"/>
      <c r="D70" s="151" t="n"/>
      <c r="E70" s="151" t="n"/>
      <c r="F70" s="83" t="n"/>
    </row>
    <row r="71" ht="15" customHeight="1" s="82">
      <c r="A71" s="83" t="n"/>
      <c r="B71" s="110" t="n"/>
      <c r="C71" s="110" t="n"/>
      <c r="D71" s="110" t="n"/>
      <c r="E71" s="110" t="n"/>
      <c r="F71" s="83" t="n"/>
    </row>
    <row r="72" ht="15" customHeight="1" s="82">
      <c r="A72" s="83" t="n"/>
      <c r="B72" s="151" t="n"/>
      <c r="C72" s="151" t="n"/>
      <c r="D72" s="151" t="n"/>
      <c r="E72" s="151" t="n"/>
      <c r="F72" s="83" t="n"/>
    </row>
    <row r="73" ht="15" customHeight="1" s="82">
      <c r="A73" s="83" t="n"/>
      <c r="B73" s="110" t="n"/>
      <c r="C73" s="110" t="n"/>
      <c r="D73" s="110" t="n"/>
      <c r="E73" s="110" t="n"/>
      <c r="F73" s="83" t="n"/>
    </row>
    <row r="74" ht="15" customHeight="1" s="82">
      <c r="A74" s="83" t="n"/>
      <c r="B74" s="151" t="n"/>
      <c r="C74" s="151" t="n"/>
      <c r="D74" s="151" t="n"/>
      <c r="E74" s="151" t="n"/>
      <c r="F74" s="83" t="n"/>
    </row>
    <row r="75" ht="15" customHeight="1" s="82">
      <c r="A75" s="83" t="n"/>
      <c r="B75" s="110" t="n"/>
      <c r="C75" s="110" t="n"/>
      <c r="D75" s="110" t="n"/>
      <c r="E75" s="110" t="n"/>
      <c r="F75" s="83" t="n"/>
    </row>
    <row r="76" ht="15" customHeight="1" s="82">
      <c r="A76" s="83" t="n"/>
      <c r="B76" s="151" t="n"/>
      <c r="C76" s="151" t="n"/>
      <c r="D76" s="151" t="n"/>
      <c r="E76" s="151" t="n"/>
      <c r="F76" s="83" t="n"/>
    </row>
    <row r="77" ht="15" customHeight="1" s="82">
      <c r="A77" s="83" t="n"/>
      <c r="B77" s="110" t="n"/>
      <c r="C77" s="110" t="n"/>
      <c r="D77" s="110" t="n"/>
      <c r="E77" s="110" t="n"/>
      <c r="F77" s="83" t="n"/>
    </row>
    <row r="78" ht="15" customHeight="1" s="82">
      <c r="A78" s="83" t="n"/>
      <c r="B78" s="151" t="n"/>
      <c r="C78" s="151" t="n"/>
      <c r="D78" s="151" t="n"/>
      <c r="E78" s="151" t="n"/>
      <c r="F78" s="83" t="n"/>
    </row>
    <row r="79" ht="15" customHeight="1" s="82">
      <c r="A79" s="83" t="n"/>
      <c r="B79" s="110" t="n"/>
      <c r="C79" s="110" t="n"/>
      <c r="D79" s="110" t="n"/>
      <c r="E79" s="110" t="n"/>
      <c r="F79" s="83" t="n"/>
    </row>
    <row r="80" ht="15" customHeight="1" s="82">
      <c r="A80" s="83" t="n"/>
      <c r="B80" s="151" t="n"/>
      <c r="C80" s="151" t="n"/>
      <c r="D80" s="151" t="n"/>
      <c r="E80" s="151" t="n"/>
      <c r="F80" s="83" t="n"/>
    </row>
    <row r="81" ht="15" customHeight="1" s="82">
      <c r="A81" s="83" t="n"/>
      <c r="B81" s="110" t="n"/>
      <c r="C81" s="110" t="n"/>
      <c r="D81" s="110" t="n"/>
      <c r="E81" s="110" t="n"/>
      <c r="F81" s="83" t="n"/>
    </row>
    <row r="82" ht="15" customHeight="1" s="82">
      <c r="A82" s="83" t="n"/>
      <c r="B82" s="151" t="n"/>
      <c r="C82" s="151" t="n"/>
      <c r="D82" s="151" t="n"/>
      <c r="E82" s="151" t="n"/>
      <c r="F82" s="83" t="n"/>
    </row>
    <row r="83" ht="15" customHeight="1" s="82">
      <c r="A83" s="83" t="n"/>
      <c r="B83" s="110" t="n"/>
      <c r="C83" s="110" t="n"/>
      <c r="D83" s="110" t="n"/>
      <c r="E83" s="110" t="n"/>
      <c r="F83" s="83" t="n"/>
    </row>
    <row r="84" ht="15" customHeight="1" s="82">
      <c r="A84" s="83" t="n"/>
      <c r="B84" s="151" t="n"/>
      <c r="C84" s="151" t="n"/>
      <c r="D84" s="151" t="n"/>
      <c r="E84" s="151" t="n"/>
      <c r="F84" s="83" t="n"/>
    </row>
    <row r="85" ht="15" customHeight="1" s="82">
      <c r="A85" s="83" t="n"/>
      <c r="B85" s="110" t="n"/>
      <c r="C85" s="110" t="n"/>
      <c r="D85" s="110" t="n"/>
      <c r="E85" s="110" t="n"/>
      <c r="F85" s="83" t="n"/>
    </row>
    <row r="86" ht="15" customHeight="1" s="82">
      <c r="A86" s="83" t="n"/>
      <c r="B86" s="151" t="n"/>
      <c r="C86" s="151" t="n"/>
      <c r="D86" s="151" t="n"/>
      <c r="E86" s="151" t="n"/>
      <c r="F86" s="83" t="n"/>
    </row>
    <row r="87" ht="15" customHeight="1" s="82">
      <c r="A87" s="83" t="n"/>
      <c r="B87" s="110" t="n"/>
      <c r="C87" s="110" t="n"/>
      <c r="D87" s="110" t="n"/>
      <c r="E87" s="110" t="n"/>
      <c r="F87" s="83" t="n"/>
    </row>
    <row r="88" ht="15" customHeight="1" s="82">
      <c r="A88" s="83" t="n"/>
      <c r="B88" s="151" t="n"/>
      <c r="C88" s="151" t="n"/>
      <c r="D88" s="151" t="n"/>
      <c r="E88" s="151" t="n"/>
      <c r="F88" s="83" t="n"/>
    </row>
    <row r="89" ht="15" customHeight="1" s="82">
      <c r="A89" s="83" t="n"/>
      <c r="B89" s="110" t="n"/>
      <c r="C89" s="110" t="n"/>
      <c r="D89" s="110" t="n"/>
      <c r="E89" s="110" t="n"/>
      <c r="F89" s="83" t="n"/>
    </row>
    <row r="90" ht="15" customHeight="1" s="82">
      <c r="A90" s="83" t="n"/>
      <c r="B90" s="151" t="n"/>
      <c r="C90" s="151" t="n"/>
      <c r="D90" s="151" t="n"/>
      <c r="E90" s="151" t="n"/>
      <c r="F90" s="83" t="n"/>
    </row>
    <row r="91" ht="15" customHeight="1" s="82">
      <c r="A91" s="83" t="n"/>
      <c r="B91" s="110" t="n"/>
      <c r="C91" s="110" t="n"/>
      <c r="D91" s="110" t="n"/>
      <c r="E91" s="110" t="n"/>
      <c r="F91" s="83" t="n"/>
    </row>
    <row r="92" ht="15" customHeight="1" s="82">
      <c r="A92" s="83" t="n"/>
      <c r="B92" s="151" t="n"/>
      <c r="C92" s="151" t="n"/>
      <c r="D92" s="151" t="n"/>
      <c r="E92" s="151" t="n"/>
      <c r="F92" s="83" t="n"/>
    </row>
    <row r="93" ht="15" customHeight="1" s="82">
      <c r="A93" s="83" t="n"/>
      <c r="B93" s="110" t="n"/>
      <c r="C93" s="110" t="n"/>
      <c r="D93" s="110" t="n"/>
      <c r="E93" s="110" t="n"/>
      <c r="F93" s="83" t="n"/>
    </row>
    <row r="94" ht="15" customHeight="1" s="82">
      <c r="A94" s="83" t="n"/>
      <c r="B94" s="151" t="n"/>
      <c r="C94" s="151" t="n"/>
      <c r="D94" s="151" t="n"/>
      <c r="E94" s="151" t="n"/>
      <c r="F94" s="83" t="n"/>
    </row>
    <row r="95" ht="15" customHeight="1" s="82">
      <c r="A95" s="83" t="n"/>
      <c r="B95" s="110" t="n"/>
      <c r="C95" s="110" t="n"/>
      <c r="D95" s="110" t="n"/>
      <c r="E95" s="110" t="n"/>
      <c r="F95" s="83" t="n"/>
    </row>
    <row r="96" ht="15" customHeight="1" s="82">
      <c r="A96" s="83" t="n"/>
      <c r="B96" s="151" t="n"/>
      <c r="C96" s="151" t="n"/>
      <c r="D96" s="151" t="n"/>
      <c r="E96" s="151" t="n"/>
      <c r="F96" s="83" t="n"/>
    </row>
    <row r="97" ht="15" customHeight="1" s="82">
      <c r="A97" s="83" t="n"/>
      <c r="B97" s="110" t="n"/>
      <c r="C97" s="110" t="n"/>
      <c r="D97" s="110" t="n"/>
      <c r="E97" s="110" t="n"/>
      <c r="F97" s="83" t="n"/>
    </row>
    <row r="98" ht="15" customHeight="1" s="82">
      <c r="A98" s="83" t="n"/>
      <c r="B98" s="151" t="n"/>
      <c r="C98" s="151" t="n"/>
      <c r="D98" s="151" t="n"/>
      <c r="E98" s="151" t="n"/>
      <c r="F98" s="83" t="n"/>
    </row>
    <row r="99" ht="15" customHeight="1" s="82">
      <c r="A99" s="83" t="n"/>
      <c r="B99" s="110" t="n"/>
      <c r="C99" s="110" t="n"/>
      <c r="D99" s="110" t="n"/>
      <c r="E99" s="110" t="n"/>
      <c r="F99" s="83" t="n"/>
    </row>
    <row r="100" ht="15" customHeight="1" s="82">
      <c r="A100" s="83" t="n"/>
      <c r="B100" s="151" t="n"/>
      <c r="C100" s="151" t="n"/>
      <c r="D100" s="151" t="n"/>
      <c r="E100" s="151" t="n"/>
      <c r="F100" s="83" t="n"/>
    </row>
    <row r="101" ht="15" customHeight="1" s="82">
      <c r="A101" s="83" t="n"/>
      <c r="B101" s="110" t="n"/>
      <c r="C101" s="110" t="n"/>
      <c r="D101" s="110" t="n"/>
      <c r="E101" s="110" t="n"/>
      <c r="F101" s="83" t="n"/>
    </row>
    <row r="102" ht="15" customHeight="1" s="82">
      <c r="A102" s="83" t="n"/>
      <c r="B102" s="151" t="n"/>
      <c r="C102" s="151" t="n"/>
      <c r="D102" s="151" t="n"/>
      <c r="E102" s="151" t="n"/>
      <c r="F102" s="83" t="n"/>
    </row>
    <row r="103" ht="15" customHeight="1" s="82">
      <c r="A103" s="83" t="n"/>
      <c r="B103" s="110" t="n"/>
      <c r="C103" s="110" t="n"/>
      <c r="D103" s="110" t="n"/>
      <c r="E103" s="110" t="n"/>
      <c r="F103" s="83" t="n"/>
    </row>
    <row r="104" ht="15" customHeight="1" s="82">
      <c r="A104" s="83" t="n"/>
      <c r="B104" s="151" t="n"/>
      <c r="C104" s="151" t="n"/>
      <c r="D104" s="151" t="n"/>
      <c r="E104" s="151" t="n"/>
      <c r="F104" s="83" t="n"/>
    </row>
    <row r="105" ht="15" customHeight="1" s="82">
      <c r="A105" s="83" t="n"/>
      <c r="B105" s="110" t="n"/>
      <c r="C105" s="110" t="n"/>
      <c r="D105" s="110" t="n"/>
      <c r="E105" s="110" t="n"/>
      <c r="F105" s="83" t="n"/>
    </row>
    <row r="106" ht="15" customHeight="1" s="82">
      <c r="A106" s="83" t="n"/>
      <c r="B106" s="151" t="n"/>
      <c r="C106" s="151" t="n"/>
      <c r="D106" s="151" t="n"/>
      <c r="E106" s="151" t="n"/>
      <c r="F106" s="83" t="n"/>
    </row>
    <row r="107" ht="15" customHeight="1" s="82">
      <c r="A107" s="83" t="n"/>
      <c r="B107" s="110" t="n"/>
      <c r="C107" s="110" t="n"/>
      <c r="D107" s="110" t="n"/>
      <c r="E107" s="110" t="n"/>
      <c r="F107" s="83" t="n"/>
    </row>
    <row r="108" ht="15" customHeight="1" s="82">
      <c r="A108" s="83" t="n"/>
      <c r="B108" s="151" t="n"/>
      <c r="C108" s="151" t="n"/>
      <c r="D108" s="151" t="n"/>
      <c r="E108" s="151" t="n"/>
      <c r="F108" s="83" t="n"/>
    </row>
    <row r="109" ht="15" customHeight="1" s="82">
      <c r="A109" s="83" t="n"/>
      <c r="B109" s="110" t="n"/>
      <c r="C109" s="110" t="n"/>
      <c r="D109" s="110" t="n"/>
      <c r="E109" s="110" t="n"/>
      <c r="F109" s="83" t="n"/>
    </row>
    <row r="110" ht="15" customHeight="1" s="82">
      <c r="A110" s="83" t="n"/>
      <c r="B110" s="151" t="n"/>
      <c r="C110" s="151" t="n"/>
      <c r="D110" s="151" t="n"/>
      <c r="E110" s="151" t="n"/>
      <c r="F110" s="83" t="n"/>
    </row>
    <row r="111" ht="15" customHeight="1" s="82">
      <c r="A111" s="83" t="n"/>
      <c r="B111" s="110" t="n"/>
      <c r="C111" s="110" t="n"/>
      <c r="D111" s="110" t="n"/>
      <c r="E111" s="110" t="n"/>
      <c r="F111" s="83" t="n"/>
    </row>
    <row r="112" ht="15" customHeight="1" s="82">
      <c r="A112" s="83" t="n"/>
      <c r="B112" s="151" t="n"/>
      <c r="C112" s="151" t="n"/>
      <c r="D112" s="151" t="n"/>
      <c r="E112" s="151" t="n"/>
      <c r="F112" s="83" t="n"/>
    </row>
    <row r="113" ht="15" customHeight="1" s="82">
      <c r="A113" s="83" t="n"/>
      <c r="B113" s="110" t="n"/>
      <c r="C113" s="110" t="n"/>
      <c r="D113" s="110" t="n"/>
      <c r="E113" s="110" t="n"/>
      <c r="F113" s="83" t="n"/>
    </row>
    <row r="114" ht="15" customHeight="1" s="82">
      <c r="A114" s="83" t="n"/>
      <c r="B114" s="151" t="n"/>
      <c r="C114" s="151" t="n"/>
      <c r="D114" s="151" t="n"/>
      <c r="E114" s="151" t="n"/>
      <c r="F114" s="83" t="n"/>
    </row>
    <row r="115" ht="15" customHeight="1" s="82">
      <c r="A115" s="83" t="n"/>
      <c r="B115" s="110" t="n"/>
      <c r="C115" s="110" t="n"/>
      <c r="D115" s="110" t="n"/>
      <c r="E115" s="110" t="n"/>
      <c r="F115" s="83" t="n"/>
    </row>
    <row r="116" ht="15" customHeight="1" s="82">
      <c r="A116" s="83" t="n"/>
      <c r="B116" s="151" t="n"/>
      <c r="C116" s="151" t="n"/>
      <c r="D116" s="151" t="n"/>
      <c r="E116" s="151" t="n"/>
      <c r="F116" s="83" t="n"/>
    </row>
    <row r="117" ht="15" customHeight="1" s="82">
      <c r="A117" s="83" t="n"/>
      <c r="B117" s="110" t="n"/>
      <c r="C117" s="110" t="n"/>
      <c r="D117" s="110" t="n"/>
      <c r="E117" s="110" t="n"/>
      <c r="F117" s="83" t="n"/>
    </row>
    <row r="118" ht="15" customHeight="1" s="82">
      <c r="A118" s="83" t="n"/>
      <c r="B118" s="151" t="n"/>
      <c r="C118" s="151" t="n"/>
      <c r="D118" s="151" t="n"/>
      <c r="E118" s="151" t="n"/>
      <c r="F118" s="83" t="n"/>
    </row>
    <row r="119" ht="15" customHeight="1" s="82">
      <c r="A119" s="83" t="n"/>
      <c r="B119" s="110" t="n"/>
      <c r="C119" s="110" t="n"/>
      <c r="D119" s="110" t="n"/>
      <c r="E119" s="110" t="n"/>
      <c r="F119" s="83" t="n"/>
    </row>
    <row r="120" ht="15" customHeight="1" s="82">
      <c r="A120" s="83" t="n"/>
      <c r="B120" s="151" t="n"/>
      <c r="C120" s="151" t="n"/>
      <c r="D120" s="151" t="n"/>
      <c r="E120" s="151" t="n"/>
      <c r="F120" s="83" t="n"/>
    </row>
    <row r="121" ht="15" customHeight="1" s="82">
      <c r="A121" s="83" t="n"/>
      <c r="B121" s="110" t="n"/>
      <c r="C121" s="110" t="n"/>
      <c r="D121" s="110" t="n"/>
      <c r="E121" s="110" t="n"/>
      <c r="F121" s="83" t="n"/>
    </row>
    <row r="122" ht="15" customHeight="1" s="82">
      <c r="A122" s="83" t="n"/>
      <c r="B122" s="151" t="n"/>
      <c r="C122" s="151" t="n"/>
      <c r="D122" s="151" t="n"/>
      <c r="E122" s="151" t="n"/>
      <c r="F122" s="83" t="n"/>
    </row>
    <row r="123" ht="15" customHeight="1" s="82">
      <c r="A123" s="83" t="n"/>
      <c r="B123" s="110" t="n"/>
      <c r="C123" s="110" t="n"/>
      <c r="D123" s="110" t="n"/>
      <c r="E123" s="110" t="n"/>
      <c r="F123" s="83" t="n"/>
    </row>
    <row r="124" ht="15" customHeight="1" s="82">
      <c r="A124" s="83" t="n"/>
      <c r="B124" s="151" t="n"/>
      <c r="C124" s="151" t="n"/>
      <c r="D124" s="151" t="n"/>
      <c r="E124" s="151" t="n"/>
      <c r="F124" s="83" t="n"/>
    </row>
    <row r="125" ht="15" customHeight="1" s="82">
      <c r="A125" s="83" t="n"/>
      <c r="B125" s="110" t="n"/>
      <c r="C125" s="110" t="n"/>
      <c r="D125" s="110" t="n"/>
      <c r="E125" s="110" t="n"/>
      <c r="F125" s="83" t="n"/>
    </row>
    <row r="126" ht="15" customHeight="1" s="82">
      <c r="A126" s="83" t="n"/>
      <c r="B126" s="151" t="n"/>
      <c r="C126" s="151" t="n"/>
      <c r="D126" s="151" t="n"/>
      <c r="E126" s="151" t="n"/>
      <c r="F126" s="83" t="n"/>
    </row>
    <row r="127" ht="15" customHeight="1" s="82">
      <c r="A127" s="83" t="n"/>
      <c r="B127" s="110" t="n"/>
      <c r="C127" s="110" t="n"/>
      <c r="D127" s="110" t="n"/>
      <c r="E127" s="110" t="n"/>
      <c r="F127" s="83" t="n"/>
    </row>
    <row r="128" ht="15" customHeight="1" s="82">
      <c r="A128" s="83" t="n"/>
      <c r="B128" s="151" t="n"/>
      <c r="C128" s="151" t="n"/>
      <c r="D128" s="151" t="n"/>
      <c r="E128" s="151" t="n"/>
      <c r="F128" s="83" t="n"/>
    </row>
    <row r="129" ht="15" customHeight="1" s="82">
      <c r="A129" s="83" t="n"/>
      <c r="B129" s="110" t="n"/>
      <c r="C129" s="110" t="n"/>
      <c r="D129" s="110" t="n"/>
      <c r="E129" s="110" t="n"/>
      <c r="F129" s="83" t="n"/>
    </row>
    <row r="130" ht="15" customHeight="1" s="82">
      <c r="A130" s="83" t="n"/>
      <c r="B130" s="151" t="n"/>
      <c r="C130" s="151" t="n"/>
      <c r="D130" s="151" t="n"/>
      <c r="E130" s="151" t="n"/>
      <c r="F130" s="83" t="n"/>
    </row>
    <row r="131" ht="15" customHeight="1" s="82">
      <c r="A131" s="83" t="n"/>
      <c r="B131" s="110" t="n"/>
      <c r="C131" s="110" t="n"/>
      <c r="D131" s="110" t="n"/>
      <c r="E131" s="110" t="n"/>
      <c r="F131" s="83" t="n"/>
    </row>
    <row r="132" ht="15" customHeight="1" s="82">
      <c r="A132" s="83" t="n"/>
      <c r="B132" s="151" t="n"/>
      <c r="C132" s="151" t="n"/>
      <c r="D132" s="151" t="n"/>
      <c r="E132" s="151" t="n"/>
      <c r="F132" s="83" t="n"/>
    </row>
    <row r="133" ht="15" customHeight="1" s="82">
      <c r="A133" s="83" t="n"/>
      <c r="B133" s="110" t="n"/>
      <c r="C133" s="110" t="n"/>
      <c r="D133" s="110" t="n"/>
      <c r="E133" s="110" t="n"/>
      <c r="F133" s="83" t="n"/>
    </row>
    <row r="134" ht="15" customHeight="1" s="82">
      <c r="A134" s="83" t="n"/>
      <c r="B134" s="151" t="n"/>
      <c r="C134" s="151" t="n"/>
      <c r="D134" s="151" t="n"/>
      <c r="E134" s="151" t="n"/>
      <c r="F134" s="83" t="n"/>
    </row>
    <row r="135" ht="15" customHeight="1" s="82">
      <c r="A135" s="83" t="n"/>
      <c r="B135" s="110" t="n"/>
      <c r="C135" s="110" t="n"/>
      <c r="D135" s="110" t="n"/>
      <c r="E135" s="110" t="n"/>
      <c r="F135" s="83" t="n"/>
    </row>
    <row r="136" ht="15" customHeight="1" s="82">
      <c r="A136" s="83" t="n"/>
      <c r="B136" s="151" t="n"/>
      <c r="C136" s="151" t="n"/>
      <c r="D136" s="151" t="n"/>
      <c r="E136" s="151" t="n"/>
      <c r="F136" s="83" t="n"/>
    </row>
    <row r="137" ht="15" customHeight="1" s="82">
      <c r="A137" s="83" t="n"/>
      <c r="B137" s="110" t="n"/>
      <c r="C137" s="110" t="n"/>
      <c r="D137" s="110" t="n"/>
      <c r="E137" s="110" t="n"/>
      <c r="F137" s="83" t="n"/>
    </row>
    <row r="138" ht="15" customHeight="1" s="82">
      <c r="A138" s="83" t="n"/>
      <c r="B138" s="151" t="n"/>
      <c r="C138" s="151" t="n"/>
      <c r="D138" s="151" t="n"/>
      <c r="E138" s="151" t="n"/>
      <c r="F138" s="83" t="n"/>
    </row>
    <row r="139" ht="15" customHeight="1" s="82">
      <c r="A139" s="83" t="n"/>
      <c r="B139" s="110" t="n"/>
      <c r="C139" s="110" t="n"/>
      <c r="D139" s="110" t="n"/>
      <c r="E139" s="110" t="n"/>
      <c r="F139" s="83" t="n"/>
    </row>
    <row r="140" ht="15" customHeight="1" s="82">
      <c r="A140" s="83" t="n"/>
      <c r="B140" s="151" t="n"/>
      <c r="C140" s="151" t="n"/>
      <c r="D140" s="151" t="n"/>
      <c r="E140" s="151" t="n"/>
      <c r="F140" s="83" t="n"/>
    </row>
    <row r="141" ht="15" customHeight="1" s="82">
      <c r="A141" s="83" t="n"/>
      <c r="B141" s="110" t="n"/>
      <c r="C141" s="110" t="n"/>
      <c r="D141" s="110" t="n"/>
      <c r="E141" s="110" t="n"/>
      <c r="F141" s="83" t="n"/>
    </row>
    <row r="142" ht="15" customHeight="1" s="82">
      <c r="A142" s="83" t="n"/>
      <c r="B142" s="151" t="n"/>
      <c r="C142" s="151" t="n"/>
      <c r="D142" s="151" t="n"/>
      <c r="E142" s="151" t="n"/>
      <c r="F142" s="83" t="n"/>
    </row>
    <row r="143" ht="15" customHeight="1" s="82">
      <c r="A143" s="83" t="n"/>
      <c r="B143" s="110" t="n"/>
      <c r="C143" s="110" t="n"/>
      <c r="D143" s="110" t="n"/>
      <c r="E143" s="110" t="n"/>
      <c r="F143" s="83" t="n"/>
    </row>
    <row r="144" ht="15" customHeight="1" s="82">
      <c r="A144" s="83" t="n"/>
      <c r="B144" s="151" t="n"/>
      <c r="C144" s="151" t="n"/>
      <c r="D144" s="151" t="n"/>
      <c r="E144" s="151" t="n"/>
      <c r="F144" s="83" t="n"/>
    </row>
    <row r="145" ht="15" customHeight="1" s="82">
      <c r="A145" s="83" t="n"/>
      <c r="B145" s="110" t="n"/>
      <c r="C145" s="110" t="n"/>
      <c r="D145" s="110" t="n"/>
      <c r="E145" s="110" t="n"/>
      <c r="F145" s="83" t="n"/>
    </row>
    <row r="146" ht="15" customHeight="1" s="82">
      <c r="A146" s="83" t="n"/>
      <c r="B146" s="151" t="n"/>
      <c r="C146" s="151" t="n"/>
      <c r="D146" s="151" t="n"/>
      <c r="E146" s="151" t="n"/>
      <c r="F146" s="83" t="n"/>
    </row>
    <row r="147" ht="15" customHeight="1" s="82">
      <c r="A147" s="83" t="n"/>
      <c r="B147" s="110" t="n"/>
      <c r="C147" s="110" t="n"/>
      <c r="D147" s="110" t="n"/>
      <c r="E147" s="110" t="n"/>
      <c r="F147" s="83" t="n"/>
    </row>
    <row r="148" ht="15" customHeight="1" s="82">
      <c r="A148" s="83" t="n"/>
      <c r="B148" s="151" t="n"/>
      <c r="C148" s="151" t="n"/>
      <c r="D148" s="151" t="n"/>
      <c r="E148" s="151" t="n"/>
      <c r="F148" s="83" t="n"/>
    </row>
    <row r="149" ht="15" customHeight="1" s="82">
      <c r="A149" s="83" t="n"/>
      <c r="B149" s="110" t="n"/>
      <c r="C149" s="110" t="n"/>
      <c r="D149" s="110" t="n"/>
      <c r="E149" s="110" t="n"/>
      <c r="F149" s="83" t="n"/>
    </row>
    <row r="150" ht="15" customHeight="1" s="82">
      <c r="A150" s="83" t="n"/>
      <c r="B150" s="151" t="n"/>
      <c r="C150" s="151" t="n"/>
      <c r="D150" s="151" t="n"/>
      <c r="E150" s="151" t="n"/>
      <c r="F150" s="83" t="n"/>
    </row>
    <row r="151" ht="15" customHeight="1" s="82">
      <c r="A151" s="83" t="n"/>
      <c r="B151" s="110" t="n"/>
      <c r="C151" s="110" t="n"/>
      <c r="D151" s="110" t="n"/>
      <c r="E151" s="110" t="n"/>
      <c r="F151" s="83" t="n"/>
    </row>
    <row r="152" ht="15" customHeight="1" s="82">
      <c r="A152" s="83" t="n"/>
      <c r="B152" s="151" t="n"/>
      <c r="C152" s="151" t="n"/>
      <c r="D152" s="151" t="n"/>
      <c r="E152" s="151" t="n"/>
      <c r="F152" s="83" t="n"/>
    </row>
    <row r="153" ht="15" customHeight="1" s="82">
      <c r="A153" s="83" t="n"/>
      <c r="B153" s="110" t="n"/>
      <c r="C153" s="110" t="n"/>
      <c r="D153" s="110" t="n"/>
      <c r="E153" s="110" t="n"/>
      <c r="F153" s="83" t="n"/>
    </row>
    <row r="154" ht="15" customHeight="1" s="82">
      <c r="A154" s="83" t="n"/>
      <c r="B154" s="151" t="n"/>
      <c r="C154" s="151" t="n"/>
      <c r="D154" s="151" t="n"/>
      <c r="E154" s="151" t="n"/>
      <c r="F154" s="83" t="n"/>
    </row>
    <row r="155" ht="15" customHeight="1" s="82">
      <c r="A155" s="83" t="n"/>
      <c r="B155" s="110" t="n"/>
      <c r="C155" s="110" t="n"/>
      <c r="D155" s="110" t="n"/>
      <c r="E155" s="110" t="n"/>
      <c r="F155" s="83" t="n"/>
    </row>
    <row r="156" ht="15" customHeight="1" s="82">
      <c r="A156" s="83" t="n"/>
      <c r="B156" s="151" t="n"/>
      <c r="C156" s="151" t="n"/>
      <c r="D156" s="151" t="n"/>
      <c r="E156" s="151" t="n"/>
      <c r="F156" s="83" t="n"/>
    </row>
    <row r="157" ht="15" customHeight="1" s="82">
      <c r="A157" s="83" t="n"/>
      <c r="B157" s="110" t="n"/>
      <c r="C157" s="110" t="n"/>
      <c r="D157" s="110" t="n"/>
      <c r="E157" s="110" t="n"/>
      <c r="F157" s="83" t="n"/>
    </row>
    <row r="158" ht="15" customHeight="1" s="82">
      <c r="A158" s="83" t="n"/>
      <c r="B158" s="151" t="n"/>
      <c r="C158" s="151" t="n"/>
      <c r="D158" s="151" t="n"/>
      <c r="E158" s="151" t="n"/>
      <c r="F158" s="83" t="n"/>
    </row>
    <row r="159" ht="15" customHeight="1" s="82">
      <c r="A159" s="83" t="n"/>
      <c r="B159" s="110" t="n"/>
      <c r="C159" s="110" t="n"/>
      <c r="D159" s="110" t="n"/>
      <c r="E159" s="110" t="n"/>
      <c r="F159" s="83" t="n"/>
    </row>
    <row r="160" ht="15" customHeight="1" s="82">
      <c r="A160" s="83" t="n"/>
      <c r="B160" s="151" t="n"/>
      <c r="C160" s="151" t="n"/>
      <c r="D160" s="151" t="n"/>
      <c r="E160" s="151" t="n"/>
      <c r="F160" s="83" t="n"/>
    </row>
    <row r="161" ht="15" customHeight="1" s="82">
      <c r="A161" s="83" t="n"/>
      <c r="B161" s="110" t="n"/>
      <c r="C161" s="110" t="n"/>
      <c r="D161" s="110" t="n"/>
      <c r="E161" s="110" t="n"/>
      <c r="F161" s="83" t="n"/>
    </row>
    <row r="162" ht="15" customHeight="1" s="82">
      <c r="A162" s="83" t="n"/>
      <c r="B162" s="151" t="n"/>
      <c r="C162" s="151" t="n"/>
      <c r="D162" s="151" t="n"/>
      <c r="E162" s="151" t="n"/>
      <c r="F162" s="83" t="n"/>
    </row>
    <row r="163" ht="15" customHeight="1" s="82">
      <c r="A163" s="83" t="n"/>
      <c r="B163" s="110" t="n"/>
      <c r="C163" s="110" t="n"/>
      <c r="D163" s="110" t="n"/>
      <c r="E163" s="110" t="n"/>
      <c r="F163" s="83" t="n"/>
    </row>
    <row r="164" ht="15" customHeight="1" s="82">
      <c r="A164" s="83" t="n"/>
      <c r="B164" s="151" t="n"/>
      <c r="C164" s="151" t="n"/>
      <c r="D164" s="151" t="n"/>
      <c r="E164" s="151" t="n"/>
      <c r="F164" s="83" t="n"/>
    </row>
    <row r="165" ht="15" customHeight="1" s="82">
      <c r="A165" s="83" t="n"/>
      <c r="B165" s="110" t="n"/>
      <c r="C165" s="110" t="n"/>
      <c r="D165" s="110" t="n"/>
      <c r="E165" s="110" t="n"/>
      <c r="F165" s="83" t="n"/>
    </row>
    <row r="166" ht="15" customHeight="1" s="82">
      <c r="A166" s="83" t="n"/>
      <c r="B166" s="151" t="n"/>
      <c r="C166" s="151" t="n"/>
      <c r="D166" s="151" t="n"/>
      <c r="E166" s="151" t="n"/>
      <c r="F166" s="83" t="n"/>
    </row>
    <row r="167" ht="15" customHeight="1" s="82">
      <c r="A167" s="83" t="n"/>
      <c r="B167" s="110" t="n"/>
      <c r="C167" s="110" t="n"/>
      <c r="D167" s="110" t="n"/>
      <c r="E167" s="110" t="n"/>
      <c r="F167" s="83" t="n"/>
    </row>
    <row r="168" ht="15" customHeight="1" s="82">
      <c r="A168" s="83" t="n"/>
      <c r="B168" s="151" t="n"/>
      <c r="C168" s="151" t="n"/>
      <c r="D168" s="151" t="n"/>
      <c r="E168" s="151" t="n"/>
      <c r="F168" s="83" t="n"/>
    </row>
    <row r="169" ht="15" customHeight="1" s="82">
      <c r="A169" s="83" t="n"/>
      <c r="B169" s="110" t="n"/>
      <c r="C169" s="110" t="n"/>
      <c r="D169" s="110" t="n"/>
      <c r="E169" s="110" t="n"/>
      <c r="F169" s="83" t="n"/>
    </row>
    <row r="170" ht="15" customHeight="1" s="82">
      <c r="A170" s="83" t="n"/>
      <c r="B170" s="151" t="n"/>
      <c r="C170" s="151" t="n"/>
      <c r="D170" s="151" t="n"/>
      <c r="E170" s="151" t="n"/>
      <c r="F170" s="83" t="n"/>
    </row>
    <row r="171" ht="15" customHeight="1" s="82">
      <c r="A171" s="83" t="n"/>
      <c r="B171" s="110" t="n"/>
      <c r="C171" s="110" t="n"/>
      <c r="D171" s="110" t="n"/>
      <c r="E171" s="110" t="n"/>
      <c r="F171" s="83" t="n"/>
    </row>
    <row r="172" ht="15" customHeight="1" s="82">
      <c r="A172" s="83" t="n"/>
      <c r="B172" s="151" t="n"/>
      <c r="C172" s="151" t="n"/>
      <c r="D172" s="151" t="n"/>
      <c r="E172" s="151" t="n"/>
      <c r="F172" s="83" t="n"/>
    </row>
    <row r="173" ht="15" customHeight="1" s="82">
      <c r="A173" s="83" t="n"/>
      <c r="B173" s="110" t="n"/>
      <c r="C173" s="110" t="n"/>
      <c r="D173" s="110" t="n"/>
      <c r="E173" s="110" t="n"/>
      <c r="F173" s="83" t="n"/>
    </row>
    <row r="174" ht="15" customHeight="1" s="82">
      <c r="A174" s="83" t="n"/>
      <c r="B174" s="151" t="n"/>
      <c r="C174" s="151" t="n"/>
      <c r="D174" s="151" t="n"/>
      <c r="E174" s="151" t="n"/>
      <c r="F174" s="83" t="n"/>
    </row>
    <row r="175" ht="15" customHeight="1" s="82">
      <c r="A175" s="83" t="n"/>
      <c r="B175" s="110" t="n"/>
      <c r="C175" s="110" t="n"/>
      <c r="D175" s="110" t="n"/>
      <c r="E175" s="110" t="n"/>
      <c r="F175" s="83" t="n"/>
    </row>
    <row r="176" ht="15" customHeight="1" s="82">
      <c r="A176" s="83" t="n"/>
      <c r="B176" s="151" t="n"/>
      <c r="C176" s="151" t="n"/>
      <c r="D176" s="151" t="n"/>
      <c r="E176" s="151" t="n"/>
      <c r="F176" s="83" t="n"/>
    </row>
    <row r="177" ht="15" customHeight="1" s="82">
      <c r="A177" s="83" t="n"/>
      <c r="B177" s="110" t="n"/>
      <c r="C177" s="110" t="n"/>
      <c r="D177" s="110" t="n"/>
      <c r="E177" s="110" t="n"/>
      <c r="F177" s="83" t="n"/>
    </row>
    <row r="178" ht="15" customHeight="1" s="82">
      <c r="A178" s="83" t="n"/>
      <c r="B178" s="151" t="n"/>
      <c r="C178" s="151" t="n"/>
      <c r="D178" s="151" t="n"/>
      <c r="E178" s="151" t="n"/>
      <c r="F178" s="83" t="n"/>
    </row>
    <row r="179" ht="15" customHeight="1" s="82">
      <c r="A179" s="83" t="n"/>
      <c r="B179" s="110" t="n"/>
      <c r="C179" s="110" t="n"/>
      <c r="D179" s="110" t="n"/>
      <c r="E179" s="110" t="n"/>
      <c r="F179" s="83" t="n"/>
    </row>
    <row r="180" ht="15" customHeight="1" s="82">
      <c r="A180" s="83" t="n"/>
      <c r="B180" s="151" t="n"/>
      <c r="C180" s="151" t="n"/>
      <c r="D180" s="151" t="n"/>
      <c r="E180" s="151" t="n"/>
      <c r="F180" s="83" t="n"/>
    </row>
    <row r="181" ht="15" customHeight="1" s="82">
      <c r="A181" s="83" t="n"/>
      <c r="B181" s="110" t="n"/>
      <c r="C181" s="110" t="n"/>
      <c r="D181" s="110" t="n"/>
      <c r="E181" s="110" t="n"/>
      <c r="F181" s="83" t="n"/>
    </row>
    <row r="182" ht="15" customHeight="1" s="82">
      <c r="A182" s="83" t="n"/>
      <c r="B182" s="151" t="n"/>
      <c r="C182" s="151" t="n"/>
      <c r="D182" s="151" t="n"/>
      <c r="E182" s="151" t="n"/>
      <c r="F182" s="83" t="n"/>
    </row>
    <row r="183" ht="15" customHeight="1" s="82">
      <c r="A183" s="83" t="n"/>
      <c r="B183" s="110" t="n"/>
      <c r="C183" s="110" t="n"/>
      <c r="D183" s="110" t="n"/>
      <c r="E183" s="110" t="n"/>
      <c r="F183" s="83" t="n"/>
    </row>
    <row r="184" ht="15" customHeight="1" s="82">
      <c r="A184" s="83" t="n"/>
      <c r="B184" s="151" t="n"/>
      <c r="C184" s="151" t="n"/>
      <c r="D184" s="151" t="n"/>
      <c r="E184" s="151" t="n"/>
      <c r="F184" s="83" t="n"/>
    </row>
    <row r="185" ht="15" customHeight="1" s="82">
      <c r="A185" s="83" t="n"/>
      <c r="B185" s="110" t="n"/>
      <c r="C185" s="110" t="n"/>
      <c r="D185" s="110" t="n"/>
      <c r="E185" s="110" t="n"/>
      <c r="F185" s="83" t="n"/>
    </row>
    <row r="186" ht="15" customHeight="1" s="82">
      <c r="A186" s="83" t="n"/>
      <c r="B186" s="151" t="n"/>
      <c r="C186" s="151" t="n"/>
      <c r="D186" s="151" t="n"/>
      <c r="E186" s="151" t="n"/>
      <c r="F186" s="83" t="n"/>
    </row>
    <row r="187" ht="15" customHeight="1" s="82">
      <c r="A187" s="83" t="n"/>
      <c r="B187" s="110" t="n"/>
      <c r="C187" s="110" t="n"/>
      <c r="D187" s="110" t="n"/>
      <c r="E187" s="110" t="n"/>
      <c r="F187" s="83" t="n"/>
    </row>
    <row r="188" ht="15" customHeight="1" s="82">
      <c r="A188" s="83" t="n"/>
      <c r="B188" s="151" t="n"/>
      <c r="C188" s="151" t="n"/>
      <c r="D188" s="151" t="n"/>
      <c r="E188" s="151" t="n"/>
      <c r="F188" s="83" t="n"/>
    </row>
    <row r="189" ht="15" customHeight="1" s="82">
      <c r="A189" s="83" t="n"/>
      <c r="B189" s="110" t="n"/>
      <c r="C189" s="110" t="n"/>
      <c r="D189" s="110" t="n"/>
      <c r="E189" s="110" t="n"/>
      <c r="F189" s="83" t="n"/>
    </row>
    <row r="190" ht="15" customHeight="1" s="82">
      <c r="A190" s="83" t="n"/>
      <c r="B190" s="151" t="n"/>
      <c r="C190" s="151" t="n"/>
      <c r="D190" s="151" t="n"/>
      <c r="E190" s="151" t="n"/>
      <c r="F190" s="83" t="n"/>
    </row>
    <row r="191" ht="15" customHeight="1" s="82">
      <c r="A191" s="83" t="n"/>
      <c r="B191" s="110" t="n"/>
      <c r="C191" s="110" t="n"/>
      <c r="D191" s="110" t="n"/>
      <c r="E191" s="110" t="n"/>
      <c r="F191" s="83" t="n"/>
    </row>
    <row r="192" ht="15" customHeight="1" s="82">
      <c r="A192" s="83" t="n"/>
      <c r="B192" s="151" t="n"/>
      <c r="C192" s="151" t="n"/>
      <c r="D192" s="151" t="n"/>
      <c r="E192" s="151" t="n"/>
      <c r="F192" s="83" t="n"/>
    </row>
    <row r="193" ht="15" customHeight="1" s="82">
      <c r="A193" s="83" t="n"/>
      <c r="B193" s="110" t="n"/>
      <c r="C193" s="110" t="n"/>
      <c r="D193" s="110" t="n"/>
      <c r="E193" s="110" t="n"/>
      <c r="F193" s="83" t="n"/>
    </row>
    <row r="194" ht="15" customHeight="1" s="82">
      <c r="A194" s="83" t="n"/>
      <c r="B194" s="151" t="n"/>
      <c r="C194" s="151" t="n"/>
      <c r="D194" s="151" t="n"/>
      <c r="E194" s="151" t="n"/>
      <c r="F194" s="83" t="n"/>
    </row>
    <row r="195" ht="15" customHeight="1" s="82">
      <c r="A195" s="83" t="n"/>
      <c r="B195" s="110" t="n"/>
      <c r="C195" s="110" t="n"/>
      <c r="D195" s="110" t="n"/>
      <c r="E195" s="110" t="n"/>
      <c r="F195" s="83" t="n"/>
    </row>
    <row r="196" ht="15" customHeight="1" s="82">
      <c r="A196" s="83" t="n"/>
      <c r="B196" s="151" t="n"/>
      <c r="C196" s="151" t="n"/>
      <c r="D196" s="151" t="n"/>
      <c r="E196" s="151" t="n"/>
      <c r="F196" s="83" t="n"/>
    </row>
    <row r="197" ht="15" customHeight="1" s="82">
      <c r="A197" s="83" t="n"/>
      <c r="B197" s="110" t="n"/>
      <c r="C197" s="110" t="n"/>
      <c r="D197" s="110" t="n"/>
      <c r="E197" s="110" t="n"/>
      <c r="F197" s="83" t="n"/>
    </row>
    <row r="198" ht="15" customHeight="1" s="82">
      <c r="A198" s="83" t="n"/>
      <c r="B198" s="151" t="n"/>
      <c r="C198" s="151" t="n"/>
      <c r="D198" s="151" t="n"/>
      <c r="E198" s="151" t="n"/>
      <c r="F198" s="83" t="n"/>
    </row>
    <row r="199" ht="15" customHeight="1" s="82">
      <c r="A199" s="83" t="n"/>
      <c r="B199" s="110" t="n"/>
      <c r="C199" s="110" t="n"/>
      <c r="D199" s="110" t="n"/>
      <c r="E199" s="110" t="n"/>
      <c r="F199" s="83" t="n"/>
    </row>
    <row r="200" ht="15" customHeight="1" s="82">
      <c r="A200" s="83" t="n"/>
      <c r="B200" s="151" t="n"/>
      <c r="C200" s="151" t="n"/>
      <c r="D200" s="151" t="n"/>
      <c r="E200" s="151" t="n"/>
      <c r="F200" s="83" t="n"/>
    </row>
    <row r="201" ht="15" customHeight="1" s="82">
      <c r="A201" s="83" t="n"/>
      <c r="B201" s="110" t="n"/>
      <c r="C201" s="110" t="n"/>
      <c r="D201" s="110" t="n"/>
      <c r="E201" s="110" t="n"/>
      <c r="F201" s="83" t="n"/>
    </row>
    <row r="202" ht="15" customHeight="1" s="82">
      <c r="A202" s="83" t="n"/>
      <c r="B202" s="151" t="n"/>
      <c r="C202" s="151" t="n"/>
      <c r="D202" s="151" t="n"/>
      <c r="E202" s="151" t="n"/>
      <c r="F202" s="83" t="n"/>
    </row>
    <row r="203" ht="15" customHeight="1" s="82">
      <c r="A203" s="83" t="n"/>
      <c r="B203" s="110" t="n"/>
      <c r="C203" s="110" t="n"/>
      <c r="D203" s="110" t="n"/>
      <c r="E203" s="110" t="n"/>
      <c r="F203" s="83" t="n"/>
    </row>
    <row r="204" ht="15" customHeight="1" s="82">
      <c r="A204" s="83" t="n"/>
      <c r="B204" s="151" t="n"/>
      <c r="C204" s="151" t="n"/>
      <c r="D204" s="151" t="n"/>
      <c r="E204" s="151" t="n"/>
      <c r="F204" s="83" t="n"/>
    </row>
    <row r="205" ht="15" customHeight="1" s="82">
      <c r="A205" s="83" t="n"/>
      <c r="B205" s="110" t="n"/>
      <c r="C205" s="110" t="n"/>
      <c r="D205" s="110" t="n"/>
      <c r="E205" s="110" t="n"/>
      <c r="F205" s="83" t="n"/>
    </row>
    <row r="206" ht="15" customHeight="1" s="82">
      <c r="A206" s="83" t="n"/>
      <c r="B206" s="151" t="n"/>
      <c r="C206" s="151" t="n"/>
      <c r="D206" s="151" t="n"/>
      <c r="E206" s="151" t="n"/>
      <c r="F206" s="83" t="n"/>
    </row>
    <row r="207" ht="15" customHeight="1" s="82">
      <c r="A207" s="83" t="n"/>
      <c r="B207" s="110" t="n"/>
      <c r="C207" s="110" t="n"/>
      <c r="D207" s="110" t="n"/>
      <c r="E207" s="110" t="n"/>
      <c r="F207" s="83" t="n"/>
    </row>
    <row r="208" ht="15" customHeight="1" s="82">
      <c r="A208" s="83" t="n"/>
      <c r="B208" s="151" t="n"/>
      <c r="C208" s="151" t="n"/>
      <c r="D208" s="151" t="n"/>
      <c r="E208" s="151" t="n"/>
      <c r="F208" s="83" t="n"/>
    </row>
    <row r="209" ht="15" customHeight="1" s="82">
      <c r="A209" s="83" t="n"/>
      <c r="B209" s="110" t="n"/>
      <c r="C209" s="110" t="n"/>
      <c r="D209" s="110" t="n"/>
      <c r="E209" s="110" t="n"/>
      <c r="F209" s="83" t="n"/>
    </row>
    <row r="210" ht="15" customHeight="1" s="82">
      <c r="A210" s="83" t="n"/>
      <c r="B210" s="151" t="n"/>
      <c r="C210" s="151" t="n"/>
      <c r="D210" s="151" t="n"/>
      <c r="E210" s="151" t="n"/>
      <c r="F210" s="83" t="n"/>
    </row>
    <row r="211" ht="15" customHeight="1" s="82">
      <c r="A211" s="83" t="n"/>
      <c r="B211" s="110" t="n"/>
      <c r="C211" s="110" t="n"/>
      <c r="D211" s="110" t="n"/>
      <c r="E211" s="110" t="n"/>
      <c r="F211" s="83" t="n"/>
    </row>
    <row r="212" ht="15" customHeight="1" s="82">
      <c r="A212" s="83" t="n"/>
      <c r="B212" s="151" t="n"/>
      <c r="C212" s="151" t="n"/>
      <c r="D212" s="151" t="n"/>
      <c r="E212" s="151" t="n"/>
      <c r="F212" s="83" t="n"/>
    </row>
    <row r="213" ht="15" customHeight="1" s="82">
      <c r="A213" s="83" t="n"/>
      <c r="B213" s="110" t="n"/>
      <c r="C213" s="110" t="n"/>
      <c r="D213" s="110" t="n"/>
      <c r="E213" s="110" t="n"/>
      <c r="F213" s="83" t="n"/>
    </row>
    <row r="214" ht="15" customHeight="1" s="82">
      <c r="A214" s="83" t="n"/>
      <c r="B214" s="151" t="n"/>
      <c r="C214" s="151" t="n"/>
      <c r="D214" s="151" t="n"/>
      <c r="E214" s="151" t="n"/>
      <c r="F214" s="83" t="n"/>
    </row>
    <row r="215" ht="15" customHeight="1" s="82">
      <c r="A215" s="83" t="n"/>
      <c r="B215" s="110" t="n"/>
      <c r="C215" s="110" t="n"/>
      <c r="D215" s="110" t="n"/>
      <c r="E215" s="110" t="n"/>
      <c r="F215" s="83" t="n"/>
    </row>
    <row r="216" ht="15" customHeight="1" s="82">
      <c r="A216" s="83" t="n"/>
      <c r="B216" s="151" t="n"/>
      <c r="C216" s="151" t="n"/>
      <c r="D216" s="151" t="n"/>
      <c r="E216" s="151" t="n"/>
      <c r="F216" s="83" t="n"/>
    </row>
    <row r="217" ht="15" customHeight="1" s="82">
      <c r="A217" s="83" t="n"/>
      <c r="B217" s="110" t="n"/>
      <c r="C217" s="110" t="n"/>
      <c r="D217" s="110" t="n"/>
      <c r="E217" s="110" t="n"/>
      <c r="F217" s="83" t="n"/>
    </row>
    <row r="218" ht="15" customHeight="1" s="82">
      <c r="A218" s="83" t="n"/>
      <c r="B218" s="151" t="n"/>
      <c r="C218" s="151" t="n"/>
      <c r="D218" s="151" t="n"/>
      <c r="E218" s="151" t="n"/>
      <c r="F218" s="83" t="n"/>
    </row>
    <row r="219" ht="15" customHeight="1" s="82">
      <c r="A219" s="83" t="n"/>
      <c r="B219" s="110" t="n"/>
      <c r="C219" s="110" t="n"/>
      <c r="D219" s="110" t="n"/>
      <c r="E219" s="110" t="n"/>
      <c r="F219" s="83" t="n"/>
    </row>
    <row r="220" ht="15" customHeight="1" s="82">
      <c r="A220" s="83" t="n"/>
      <c r="B220" s="151" t="n"/>
      <c r="C220" s="151" t="n"/>
      <c r="D220" s="151" t="n"/>
      <c r="E220" s="151" t="n"/>
      <c r="F220" s="83" t="n"/>
    </row>
    <row r="221" ht="15" customHeight="1" s="82">
      <c r="A221" s="83" t="n"/>
      <c r="B221" s="110" t="n"/>
      <c r="C221" s="110" t="n"/>
      <c r="D221" s="110" t="n"/>
      <c r="E221" s="110" t="n"/>
      <c r="F221" s="83" t="n"/>
    </row>
    <row r="222" ht="15" customHeight="1" s="82">
      <c r="A222" s="83" t="n"/>
      <c r="B222" s="151" t="n"/>
      <c r="C222" s="151" t="n"/>
      <c r="D222" s="151" t="n"/>
      <c r="E222" s="151" t="n"/>
      <c r="F222" s="83" t="n"/>
    </row>
    <row r="223" ht="15" customHeight="1" s="82">
      <c r="A223" s="83" t="n"/>
      <c r="B223" s="110" t="n"/>
      <c r="C223" s="110" t="n"/>
      <c r="D223" s="110" t="n"/>
      <c r="E223" s="110" t="n"/>
      <c r="F223" s="83" t="n"/>
    </row>
    <row r="224" ht="15" customHeight="1" s="82">
      <c r="A224" s="83" t="n"/>
      <c r="B224" s="151" t="n"/>
      <c r="C224" s="151" t="n"/>
      <c r="D224" s="151" t="n"/>
      <c r="E224" s="151" t="n"/>
      <c r="F224" s="83" t="n"/>
    </row>
    <row r="225" ht="15" customHeight="1" s="82">
      <c r="A225" s="83" t="n"/>
      <c r="B225" s="110" t="n"/>
      <c r="C225" s="110" t="n"/>
      <c r="D225" s="110" t="n"/>
      <c r="E225" s="110" t="n"/>
      <c r="F225" s="83" t="n"/>
    </row>
    <row r="226" ht="15" customHeight="1" s="82">
      <c r="A226" s="83" t="n"/>
      <c r="B226" s="151" t="n"/>
      <c r="C226" s="151" t="n"/>
      <c r="D226" s="151" t="n"/>
      <c r="E226" s="151" t="n"/>
      <c r="F226" s="83" t="n"/>
    </row>
    <row r="227" ht="15" customHeight="1" s="82">
      <c r="A227" s="83" t="n"/>
      <c r="B227" s="110" t="n"/>
      <c r="C227" s="110" t="n"/>
      <c r="D227" s="110" t="n"/>
      <c r="E227" s="110" t="n"/>
      <c r="F227" s="83" t="n"/>
    </row>
    <row r="228" ht="15" customHeight="1" s="82">
      <c r="A228" s="83" t="n"/>
      <c r="B228" s="151" t="n"/>
      <c r="C228" s="151" t="n"/>
      <c r="D228" s="151" t="n"/>
      <c r="E228" s="151" t="n"/>
      <c r="F228" s="83" t="n"/>
    </row>
    <row r="229" ht="15" customHeight="1" s="82">
      <c r="A229" s="83" t="n"/>
      <c r="B229" s="110" t="n"/>
      <c r="C229" s="110" t="n"/>
      <c r="D229" s="110" t="n"/>
      <c r="E229" s="110" t="n"/>
      <c r="F229" s="83" t="n"/>
    </row>
    <row r="230" ht="15" customHeight="1" s="82">
      <c r="A230" s="83" t="n"/>
      <c r="B230" s="151" t="n"/>
      <c r="C230" s="151" t="n"/>
      <c r="D230" s="151" t="n"/>
      <c r="E230" s="151" t="n"/>
      <c r="F230" s="83" t="n"/>
    </row>
    <row r="231" ht="15" customHeight="1" s="82">
      <c r="A231" s="83" t="n"/>
      <c r="B231" s="110" t="n"/>
      <c r="C231" s="110" t="n"/>
      <c r="D231" s="110" t="n"/>
      <c r="E231" s="110" t="n"/>
      <c r="F231" s="83" t="n"/>
    </row>
    <row r="232" ht="15" customHeight="1" s="82">
      <c r="A232" s="83" t="n"/>
      <c r="B232" s="151" t="n"/>
      <c r="C232" s="151" t="n"/>
      <c r="D232" s="151" t="n"/>
      <c r="E232" s="151" t="n"/>
      <c r="F232" s="83" t="n"/>
    </row>
    <row r="233" ht="15" customHeight="1" s="82">
      <c r="A233" s="83" t="n"/>
      <c r="B233" s="110" t="n"/>
      <c r="C233" s="110" t="n"/>
      <c r="D233" s="110" t="n"/>
      <c r="E233" s="110" t="n"/>
      <c r="F233" s="83" t="n"/>
    </row>
    <row r="234" ht="15" customHeight="1" s="82">
      <c r="A234" s="83" t="n"/>
      <c r="B234" s="151" t="n"/>
      <c r="C234" s="151" t="n"/>
      <c r="D234" s="151" t="n"/>
      <c r="E234" s="151" t="n"/>
      <c r="F234" s="83" t="n"/>
    </row>
    <row r="235" ht="15" customHeight="1" s="82">
      <c r="A235" s="83" t="n"/>
      <c r="B235" s="110" t="n"/>
      <c r="C235" s="110" t="n"/>
      <c r="D235" s="110" t="n"/>
      <c r="E235" s="110" t="n"/>
      <c r="F235" s="83" t="n"/>
    </row>
    <row r="236" ht="15" customHeight="1" s="82">
      <c r="A236" s="83" t="n"/>
      <c r="B236" s="151" t="n"/>
      <c r="C236" s="151" t="n"/>
      <c r="D236" s="151" t="n"/>
      <c r="E236" s="151" t="n"/>
      <c r="F236" s="83" t="n"/>
    </row>
    <row r="237" ht="15" customHeight="1" s="82">
      <c r="A237" s="83" t="n"/>
      <c r="B237" s="110" t="n"/>
      <c r="C237" s="110" t="n"/>
      <c r="D237" s="110" t="n"/>
      <c r="E237" s="110" t="n"/>
      <c r="F237" s="83" t="n"/>
    </row>
    <row r="238" ht="15" customHeight="1" s="82">
      <c r="A238" s="83" t="n"/>
      <c r="B238" s="151" t="n"/>
      <c r="C238" s="151" t="n"/>
      <c r="D238" s="151" t="n"/>
      <c r="E238" s="151" t="n"/>
      <c r="F238" s="83" t="n"/>
    </row>
    <row r="239" ht="15" customHeight="1" s="82">
      <c r="A239" s="83" t="n"/>
      <c r="B239" s="110" t="n"/>
      <c r="C239" s="110" t="n"/>
      <c r="D239" s="110" t="n"/>
      <c r="E239" s="110" t="n"/>
      <c r="F239" s="83" t="n"/>
    </row>
    <row r="240" ht="15" customHeight="1" s="82">
      <c r="A240" s="83" t="n"/>
      <c r="B240" s="151" t="n"/>
      <c r="C240" s="151" t="n"/>
      <c r="D240" s="151" t="n"/>
      <c r="E240" s="151" t="n"/>
      <c r="F240" s="83" t="n"/>
    </row>
    <row r="241" ht="15" customHeight="1" s="82">
      <c r="A241" s="83" t="n"/>
      <c r="B241" s="110" t="n"/>
      <c r="C241" s="110" t="n"/>
      <c r="D241" s="110" t="n"/>
      <c r="E241" s="110" t="n"/>
      <c r="F241" s="83" t="n"/>
    </row>
    <row r="242" ht="15" customHeight="1" s="82">
      <c r="A242" s="83" t="n"/>
      <c r="B242" s="151" t="n"/>
      <c r="C242" s="151" t="n"/>
      <c r="D242" s="151" t="n"/>
      <c r="E242" s="151" t="n"/>
      <c r="F242" s="83" t="n"/>
    </row>
    <row r="243" ht="15" customHeight="1" s="82">
      <c r="A243" s="83" t="n"/>
      <c r="B243" s="110" t="n"/>
      <c r="C243" s="110" t="n"/>
      <c r="D243" s="110" t="n"/>
      <c r="E243" s="110" t="n"/>
      <c r="F243" s="83" t="n"/>
    </row>
    <row r="244" ht="15" customHeight="1" s="82">
      <c r="A244" s="83" t="n"/>
      <c r="B244" s="151" t="n"/>
      <c r="C244" s="151" t="n"/>
      <c r="D244" s="151" t="n"/>
      <c r="E244" s="151" t="n"/>
      <c r="F244" s="83" t="n"/>
    </row>
    <row r="245" ht="15" customHeight="1" s="82">
      <c r="A245" s="83" t="n"/>
      <c r="B245" s="110" t="n"/>
      <c r="C245" s="110" t="n"/>
      <c r="D245" s="110" t="n"/>
      <c r="E245" s="110" t="n"/>
      <c r="F245" s="83" t="n"/>
    </row>
    <row r="246" ht="15" customHeight="1" s="82">
      <c r="A246" s="83" t="n"/>
      <c r="B246" s="151" t="n"/>
      <c r="C246" s="151" t="n"/>
      <c r="D246" s="151" t="n"/>
      <c r="E246" s="151" t="n"/>
      <c r="F246" s="83" t="n"/>
    </row>
    <row r="247" ht="15" customHeight="1" s="82">
      <c r="A247" s="83" t="n"/>
      <c r="B247" s="110" t="n"/>
      <c r="C247" s="110" t="n"/>
      <c r="D247" s="110" t="n"/>
      <c r="E247" s="110" t="n"/>
      <c r="F247" s="83" t="n"/>
    </row>
    <row r="248" ht="15" customHeight="1" s="82">
      <c r="A248" s="83" t="n"/>
      <c r="B248" s="151" t="n"/>
      <c r="C248" s="151" t="n"/>
      <c r="D248" s="151" t="n"/>
      <c r="E248" s="151" t="n"/>
      <c r="F248" s="83" t="n"/>
    </row>
    <row r="249" ht="15" customHeight="1" s="82">
      <c r="A249" s="83" t="n"/>
      <c r="B249" s="110" t="n"/>
      <c r="C249" s="110" t="n"/>
      <c r="D249" s="110" t="n"/>
      <c r="E249" s="110" t="n"/>
      <c r="F249" s="83" t="n"/>
    </row>
    <row r="250" ht="15" customHeight="1" s="82">
      <c r="A250" s="83" t="n"/>
      <c r="B250" s="151" t="n"/>
      <c r="C250" s="151" t="n"/>
      <c r="D250" s="151" t="n"/>
      <c r="E250" s="151" t="n"/>
      <c r="F250" s="83" t="n"/>
    </row>
    <row r="251" ht="15" customHeight="1" s="82">
      <c r="A251" s="83" t="n"/>
      <c r="B251" s="110" t="n"/>
      <c r="C251" s="110" t="n"/>
      <c r="D251" s="110" t="n"/>
      <c r="E251" s="110" t="n"/>
      <c r="F251" s="83" t="n"/>
    </row>
    <row r="252" ht="15" customHeight="1" s="82">
      <c r="A252" s="83" t="n"/>
      <c r="B252" s="151" t="n"/>
      <c r="C252" s="151" t="n"/>
      <c r="D252" s="151" t="n"/>
      <c r="E252" s="151" t="n"/>
      <c r="F252" s="83" t="n"/>
    </row>
    <row r="253" ht="15" customHeight="1" s="82">
      <c r="A253" s="83" t="n"/>
      <c r="B253" s="110" t="n"/>
      <c r="C253" s="110" t="n"/>
      <c r="D253" s="110" t="n"/>
      <c r="E253" s="110" t="n"/>
      <c r="F253" s="83" t="n"/>
    </row>
    <row r="254" ht="15" customHeight="1" s="82">
      <c r="A254" s="83" t="n"/>
      <c r="B254" s="151" t="n"/>
      <c r="C254" s="151" t="n"/>
      <c r="D254" s="151" t="n"/>
      <c r="E254" s="151" t="n"/>
      <c r="F254" s="83" t="n"/>
    </row>
    <row r="255" ht="15" customHeight="1" s="82">
      <c r="A255" s="83" t="n"/>
      <c r="B255" s="110" t="n"/>
      <c r="C255" s="110" t="n"/>
      <c r="D255" s="110" t="n"/>
      <c r="E255" s="110" t="n"/>
      <c r="F255" s="83" t="n"/>
    </row>
    <row r="256" ht="15" customHeight="1" s="82">
      <c r="A256" s="83" t="n"/>
      <c r="B256" s="151" t="n"/>
      <c r="C256" s="151" t="n"/>
      <c r="D256" s="151" t="n"/>
      <c r="E256" s="151" t="n"/>
      <c r="F256" s="83" t="n"/>
    </row>
    <row r="257" ht="15" customHeight="1" s="82">
      <c r="A257" s="83" t="n"/>
      <c r="B257" s="110" t="n"/>
      <c r="C257" s="110" t="n"/>
      <c r="D257" s="110" t="n"/>
      <c r="E257" s="110" t="n"/>
      <c r="F257" s="83" t="n"/>
    </row>
    <row r="258" ht="15" customHeight="1" s="82">
      <c r="A258" s="83" t="n"/>
      <c r="B258" s="151" t="n"/>
      <c r="C258" s="151" t="n"/>
      <c r="D258" s="151" t="n"/>
      <c r="E258" s="151" t="n"/>
      <c r="F258" s="83" t="n"/>
    </row>
    <row r="259" ht="15" customHeight="1" s="82">
      <c r="A259" s="83" t="n"/>
      <c r="B259" s="110" t="n"/>
      <c r="C259" s="110" t="n"/>
      <c r="D259" s="110" t="n"/>
      <c r="E259" s="110" t="n"/>
      <c r="F259" s="83" t="n"/>
    </row>
    <row r="260" ht="15" customHeight="1" s="82">
      <c r="A260" s="83" t="n"/>
      <c r="B260" s="151" t="n"/>
      <c r="C260" s="151" t="n"/>
      <c r="D260" s="151" t="n"/>
      <c r="E260" s="151" t="n"/>
      <c r="F260" s="83" t="n"/>
    </row>
    <row r="261" ht="15" customHeight="1" s="82">
      <c r="A261" s="83" t="n"/>
      <c r="B261" s="110" t="n"/>
      <c r="C261" s="110" t="n"/>
      <c r="D261" s="110" t="n"/>
      <c r="E261" s="110" t="n"/>
      <c r="F261" s="83" t="n"/>
    </row>
    <row r="262" ht="15" customHeight="1" s="82">
      <c r="A262" s="83" t="n"/>
      <c r="B262" s="151" t="n"/>
      <c r="C262" s="151" t="n"/>
      <c r="D262" s="151" t="n"/>
      <c r="E262" s="151" t="n"/>
      <c r="F262" s="83" t="n"/>
    </row>
    <row r="263" ht="15" customHeight="1" s="82">
      <c r="A263" s="83" t="n"/>
      <c r="B263" s="110" t="n"/>
      <c r="C263" s="110" t="n"/>
      <c r="D263" s="110" t="n"/>
      <c r="E263" s="110" t="n"/>
      <c r="F263" s="83" t="n"/>
    </row>
    <row r="264" ht="15" customHeight="1" s="82">
      <c r="A264" s="83" t="n"/>
      <c r="B264" s="151" t="n"/>
      <c r="C264" s="151" t="n"/>
      <c r="D264" s="151" t="n"/>
      <c r="E264" s="151" t="n"/>
      <c r="F264" s="83" t="n"/>
    </row>
    <row r="265" ht="15" customHeight="1" s="82">
      <c r="A265" s="83" t="n"/>
      <c r="B265" s="110" t="n"/>
      <c r="C265" s="110" t="n"/>
      <c r="D265" s="110" t="n"/>
      <c r="E265" s="110" t="n"/>
      <c r="F265" s="83" t="n"/>
    </row>
    <row r="266" ht="15" customHeight="1" s="82">
      <c r="A266" s="83" t="n"/>
      <c r="B266" s="151" t="n"/>
      <c r="C266" s="151" t="n"/>
      <c r="D266" s="151" t="n"/>
      <c r="E266" s="151" t="n"/>
      <c r="F266" s="83" t="n"/>
    </row>
    <row r="267" ht="15" customHeight="1" s="82">
      <c r="A267" s="83" t="n"/>
      <c r="B267" s="110" t="n"/>
      <c r="C267" s="110" t="n"/>
      <c r="D267" s="110" t="n"/>
      <c r="E267" s="110" t="n"/>
      <c r="F267" s="83" t="n"/>
    </row>
    <row r="268" ht="15" customHeight="1" s="82">
      <c r="A268" s="83" t="n"/>
      <c r="B268" s="151" t="n"/>
      <c r="C268" s="151" t="n"/>
      <c r="D268" s="151" t="n"/>
      <c r="E268" s="151" t="n"/>
      <c r="F268" s="83" t="n"/>
    </row>
    <row r="269" ht="15" customHeight="1" s="82">
      <c r="A269" s="83" t="n"/>
      <c r="B269" s="110" t="n"/>
      <c r="C269" s="110" t="n"/>
      <c r="D269" s="110" t="n"/>
      <c r="E269" s="110" t="n"/>
      <c r="F269" s="83" t="n"/>
    </row>
    <row r="270" ht="15" customHeight="1" s="82">
      <c r="A270" s="83" t="n"/>
      <c r="B270" s="151" t="n"/>
      <c r="C270" s="151" t="n"/>
      <c r="D270" s="151" t="n"/>
      <c r="E270" s="151" t="n"/>
      <c r="F270" s="83" t="n"/>
    </row>
    <row r="271" ht="15" customHeight="1" s="82">
      <c r="A271" s="83" t="n"/>
      <c r="B271" s="110" t="n"/>
      <c r="C271" s="110" t="n"/>
      <c r="D271" s="110" t="n"/>
      <c r="E271" s="110" t="n"/>
      <c r="F271" s="83" t="n"/>
    </row>
    <row r="272" ht="15" customHeight="1" s="82">
      <c r="A272" s="83" t="n"/>
      <c r="B272" s="151" t="n"/>
      <c r="C272" s="151" t="n"/>
      <c r="D272" s="151" t="n"/>
      <c r="E272" s="151" t="n"/>
      <c r="F272" s="83" t="n"/>
    </row>
    <row r="273" ht="15" customHeight="1" s="82">
      <c r="A273" s="83" t="n"/>
      <c r="B273" s="110" t="n"/>
      <c r="C273" s="110" t="n"/>
      <c r="D273" s="110" t="n"/>
      <c r="E273" s="110" t="n"/>
      <c r="F273" s="83" t="n"/>
    </row>
    <row r="274" ht="15" customHeight="1" s="82">
      <c r="A274" s="83" t="n"/>
      <c r="B274" s="151" t="n"/>
      <c r="C274" s="151" t="n"/>
      <c r="D274" s="151" t="n"/>
      <c r="E274" s="151" t="n"/>
      <c r="F274" s="83" t="n"/>
    </row>
    <row r="275" ht="15" customHeight="1" s="82">
      <c r="A275" s="83" t="n"/>
      <c r="B275" s="110" t="n"/>
      <c r="C275" s="110" t="n"/>
      <c r="D275" s="110" t="n"/>
      <c r="E275" s="110" t="n"/>
      <c r="F275" s="83" t="n"/>
    </row>
    <row r="276" ht="15" customHeight="1" s="82">
      <c r="A276" s="83" t="n"/>
      <c r="B276" s="151" t="n"/>
      <c r="C276" s="151" t="n"/>
      <c r="D276" s="151" t="n"/>
      <c r="E276" s="151" t="n"/>
      <c r="F276" s="83" t="n"/>
    </row>
    <row r="277" ht="15" customHeight="1" s="82">
      <c r="A277" s="83" t="n"/>
      <c r="B277" s="110" t="n"/>
      <c r="C277" s="110" t="n"/>
      <c r="D277" s="110" t="n"/>
      <c r="E277" s="110" t="n"/>
      <c r="F277" s="83" t="n"/>
    </row>
    <row r="278" ht="15" customHeight="1" s="82">
      <c r="A278" s="83" t="n"/>
      <c r="B278" s="151" t="n"/>
      <c r="C278" s="151" t="n"/>
      <c r="D278" s="151" t="n"/>
      <c r="E278" s="151" t="n"/>
      <c r="F278" s="83" t="n"/>
    </row>
    <row r="279" ht="15" customHeight="1" s="82">
      <c r="A279" s="83" t="n"/>
      <c r="B279" s="110" t="n"/>
      <c r="C279" s="110" t="n"/>
      <c r="D279" s="110" t="n"/>
      <c r="E279" s="110" t="n"/>
      <c r="F279" s="83" t="n"/>
    </row>
    <row r="280" ht="15" customHeight="1" s="82">
      <c r="A280" s="83" t="n"/>
      <c r="B280" s="151" t="n"/>
      <c r="C280" s="151" t="n"/>
      <c r="D280" s="151" t="n"/>
      <c r="E280" s="151" t="n"/>
      <c r="F280" s="83" t="n"/>
    </row>
    <row r="281" ht="15" customHeight="1" s="82">
      <c r="A281" s="83" t="n"/>
      <c r="B281" s="110" t="n"/>
      <c r="C281" s="110" t="n"/>
      <c r="D281" s="110" t="n"/>
      <c r="E281" s="110" t="n"/>
      <c r="F281" s="83" t="n"/>
    </row>
    <row r="282" ht="15" customHeight="1" s="82">
      <c r="A282" s="83" t="n"/>
      <c r="B282" s="151" t="n"/>
      <c r="C282" s="151" t="n"/>
      <c r="D282" s="151" t="n"/>
      <c r="E282" s="151" t="n"/>
      <c r="F282" s="83" t="n"/>
    </row>
    <row r="283" ht="15" customHeight="1" s="82">
      <c r="A283" s="83" t="n"/>
      <c r="B283" s="110" t="n"/>
      <c r="C283" s="110" t="n"/>
      <c r="D283" s="110" t="n"/>
      <c r="E283" s="110" t="n"/>
      <c r="F283" s="83" t="n"/>
    </row>
    <row r="284" ht="15" customHeight="1" s="82">
      <c r="A284" s="83" t="n"/>
      <c r="B284" s="151" t="n"/>
      <c r="C284" s="151" t="n"/>
      <c r="D284" s="151" t="n"/>
      <c r="E284" s="151" t="n"/>
      <c r="F284" s="83" t="n"/>
    </row>
    <row r="285" ht="15" customHeight="1" s="82">
      <c r="A285" s="83" t="n"/>
      <c r="B285" s="110" t="n"/>
      <c r="C285" s="110" t="n"/>
      <c r="D285" s="110" t="n"/>
      <c r="E285" s="110" t="n"/>
      <c r="F285" s="83" t="n"/>
    </row>
    <row r="286" ht="15" customHeight="1" s="82">
      <c r="A286" s="83" t="n"/>
      <c r="B286" s="151" t="n"/>
      <c r="C286" s="151" t="n"/>
      <c r="D286" s="151" t="n"/>
      <c r="E286" s="151" t="n"/>
      <c r="F286" s="83" t="n"/>
    </row>
    <row r="287" ht="15" customHeight="1" s="82">
      <c r="A287" s="83" t="n"/>
      <c r="B287" s="110" t="n"/>
      <c r="C287" s="110" t="n"/>
      <c r="D287" s="110" t="n"/>
      <c r="E287" s="110" t="n"/>
      <c r="F287" s="83" t="n"/>
    </row>
    <row r="288" ht="15" customHeight="1" s="82">
      <c r="A288" s="83" t="n"/>
      <c r="B288" s="151" t="n"/>
      <c r="C288" s="151" t="n"/>
      <c r="D288" s="151" t="n"/>
      <c r="E288" s="151" t="n"/>
      <c r="F288" s="83" t="n"/>
    </row>
    <row r="289" ht="15" customHeight="1" s="82">
      <c r="A289" s="83" t="n"/>
      <c r="B289" s="110" t="n"/>
      <c r="C289" s="110" t="n"/>
      <c r="D289" s="110" t="n"/>
      <c r="E289" s="110" t="n"/>
      <c r="F289" s="83" t="n"/>
    </row>
    <row r="290" ht="15" customHeight="1" s="82">
      <c r="A290" s="83" t="n"/>
      <c r="B290" s="151" t="n"/>
      <c r="C290" s="151" t="n"/>
      <c r="D290" s="151" t="n"/>
      <c r="E290" s="151" t="n"/>
      <c r="F290" s="83" t="n"/>
    </row>
    <row r="291" ht="15" customHeight="1" s="82">
      <c r="A291" s="83" t="n"/>
      <c r="B291" s="110" t="n"/>
      <c r="C291" s="110" t="n"/>
      <c r="D291" s="110" t="n"/>
      <c r="E291" s="110" t="n"/>
      <c r="F291" s="83" t="n"/>
    </row>
    <row r="292" ht="15" customHeight="1" s="82">
      <c r="A292" s="83" t="n"/>
      <c r="B292" s="151" t="n"/>
      <c r="C292" s="151" t="n"/>
      <c r="D292" s="151" t="n"/>
      <c r="E292" s="151" t="n"/>
      <c r="F292" s="83" t="n"/>
    </row>
    <row r="293" ht="15" customHeight="1" s="82">
      <c r="A293" s="83" t="n"/>
      <c r="B293" s="110" t="n"/>
      <c r="C293" s="110" t="n"/>
      <c r="D293" s="110" t="n"/>
      <c r="E293" s="110" t="n"/>
      <c r="F293" s="83" t="n"/>
    </row>
    <row r="294" ht="15" customHeight="1" s="82">
      <c r="A294" s="83" t="n"/>
      <c r="B294" s="151" t="n"/>
      <c r="C294" s="151" t="n"/>
      <c r="D294" s="151" t="n"/>
      <c r="E294" s="151" t="n"/>
      <c r="F294" s="83" t="n"/>
    </row>
    <row r="295" ht="15" customHeight="1" s="82">
      <c r="A295" s="83" t="n"/>
      <c r="B295" s="110" t="n"/>
      <c r="C295" s="110" t="n"/>
      <c r="D295" s="110" t="n"/>
      <c r="E295" s="110" t="n"/>
      <c r="F295" s="83" t="n"/>
    </row>
    <row r="296" ht="15" customHeight="1" s="82">
      <c r="A296" s="83" t="n"/>
      <c r="B296" s="151" t="n"/>
      <c r="C296" s="151" t="n"/>
      <c r="D296" s="151" t="n"/>
      <c r="E296" s="151" t="n"/>
      <c r="F296" s="83" t="n"/>
    </row>
    <row r="297" ht="15" customHeight="1" s="82">
      <c r="A297" s="83" t="n"/>
      <c r="B297" s="110" t="n"/>
      <c r="C297" s="110" t="n"/>
      <c r="D297" s="110" t="n"/>
      <c r="E297" s="110" t="n"/>
      <c r="F297" s="83" t="n"/>
    </row>
    <row r="298" ht="15" customHeight="1" s="82">
      <c r="A298" s="83" t="n"/>
      <c r="B298" s="151" t="n"/>
      <c r="C298" s="151" t="n"/>
      <c r="D298" s="151" t="n"/>
      <c r="E298" s="151" t="n"/>
      <c r="F298" s="83" t="n"/>
    </row>
    <row r="299" ht="15" customHeight="1" s="82">
      <c r="A299" s="83" t="n"/>
      <c r="B299" s="110" t="n"/>
      <c r="C299" s="110" t="n"/>
      <c r="D299" s="110" t="n"/>
      <c r="E299" s="110" t="n"/>
      <c r="F299" s="83" t="n"/>
    </row>
    <row r="300" ht="15" customHeight="1" s="82">
      <c r="A300" s="83" t="n"/>
      <c r="B300" s="151" t="n"/>
      <c r="C300" s="151" t="n"/>
      <c r="D300" s="151" t="n"/>
      <c r="E300" s="151" t="n"/>
      <c r="F300" s="83" t="n"/>
    </row>
    <row r="301" ht="15" customHeight="1" s="82">
      <c r="A301" s="83" t="n"/>
      <c r="B301" s="110" t="n"/>
      <c r="C301" s="110" t="n"/>
      <c r="D301" s="110" t="n"/>
      <c r="E301" s="110" t="n"/>
      <c r="F301" s="83" t="n"/>
    </row>
    <row r="302" ht="15" customHeight="1" s="82">
      <c r="A302" s="83" t="n"/>
      <c r="B302" s="151" t="n"/>
      <c r="C302" s="151" t="n"/>
      <c r="D302" s="151" t="n"/>
      <c r="E302" s="151" t="n"/>
      <c r="F302" s="83" t="n"/>
    </row>
    <row r="303" ht="15" customHeight="1" s="82">
      <c r="A303" s="83" t="n"/>
      <c r="B303" s="110" t="n"/>
      <c r="C303" s="110" t="n"/>
      <c r="D303" s="110" t="n"/>
      <c r="E303" s="110" t="n"/>
      <c r="F303" s="83" t="n"/>
    </row>
    <row r="304" ht="15" customHeight="1" s="82">
      <c r="A304" s="83" t="n"/>
      <c r="B304" s="151" t="n"/>
      <c r="C304" s="151" t="n"/>
      <c r="D304" s="151" t="n"/>
      <c r="E304" s="151" t="n"/>
      <c r="F304" s="83" t="n"/>
    </row>
    <row r="305" ht="15" customHeight="1" s="82">
      <c r="A305" s="83" t="n"/>
      <c r="B305" s="110" t="n"/>
      <c r="C305" s="110" t="n"/>
      <c r="D305" s="110" t="n"/>
      <c r="E305" s="110" t="n"/>
      <c r="F305" s="83" t="n"/>
    </row>
    <row r="306" ht="15" customHeight="1" s="82">
      <c r="A306" s="83" t="n"/>
      <c r="B306" s="151" t="n"/>
      <c r="C306" s="151" t="n"/>
      <c r="D306" s="151" t="n"/>
      <c r="E306" s="151" t="n"/>
      <c r="F306" s="83" t="n"/>
    </row>
    <row r="307" ht="15" customHeight="1" s="82">
      <c r="A307" s="83" t="n"/>
      <c r="B307" s="110" t="n"/>
      <c r="C307" s="110" t="n"/>
      <c r="D307" s="110" t="n"/>
      <c r="E307" s="110" t="n"/>
      <c r="F307" s="83" t="n"/>
    </row>
    <row r="308" ht="15" customHeight="1" s="82">
      <c r="A308" s="83" t="n"/>
      <c r="B308" s="151" t="n"/>
      <c r="C308" s="151" t="n"/>
      <c r="D308" s="151" t="n"/>
      <c r="E308" s="151" t="n"/>
      <c r="F308" s="83" t="n"/>
    </row>
    <row r="309" ht="15" customHeight="1" s="82">
      <c r="A309" s="83" t="n"/>
      <c r="B309" s="110" t="n"/>
      <c r="C309" s="110" t="n"/>
      <c r="D309" s="110" t="n"/>
      <c r="E309" s="110" t="n"/>
      <c r="F309" s="83" t="n"/>
    </row>
    <row r="310" ht="15" customHeight="1" s="82">
      <c r="A310" s="83" t="n"/>
      <c r="B310" s="151" t="n"/>
      <c r="C310" s="151" t="n"/>
      <c r="D310" s="151" t="n"/>
      <c r="E310" s="151" t="n"/>
      <c r="F310" s="83" t="n"/>
    </row>
    <row r="311" ht="15" customHeight="1" s="82">
      <c r="A311" s="83" t="n"/>
      <c r="B311" s="110" t="n"/>
      <c r="C311" s="110" t="n"/>
      <c r="D311" s="110" t="n"/>
      <c r="E311" s="110" t="n"/>
      <c r="F311" s="83" t="n"/>
    </row>
    <row r="312" ht="15" customHeight="1" s="82">
      <c r="A312" s="83" t="n"/>
      <c r="B312" s="151" t="n"/>
      <c r="C312" s="151" t="n"/>
      <c r="D312" s="151" t="n"/>
      <c r="E312" s="151" t="n"/>
      <c r="F312" s="83" t="n"/>
    </row>
    <row r="313" ht="15" customHeight="1" s="82">
      <c r="A313" s="83" t="n"/>
      <c r="B313" s="110" t="n"/>
      <c r="C313" s="110" t="n"/>
      <c r="D313" s="110" t="n"/>
      <c r="E313" s="110" t="n"/>
      <c r="F313" s="83" t="n"/>
    </row>
    <row r="314" ht="15" customHeight="1" s="82">
      <c r="A314" s="83" t="n"/>
      <c r="B314" s="151" t="n"/>
      <c r="C314" s="151" t="n"/>
      <c r="D314" s="151" t="n"/>
      <c r="E314" s="151" t="n"/>
      <c r="F314" s="83" t="n"/>
    </row>
    <row r="315" ht="15" customHeight="1" s="82">
      <c r="A315" s="83" t="n"/>
      <c r="B315" s="110" t="n"/>
      <c r="C315" s="110" t="n"/>
      <c r="D315" s="110" t="n"/>
      <c r="E315" s="110" t="n"/>
      <c r="F315" s="83" t="n"/>
    </row>
    <row r="316" ht="15" customHeight="1" s="82">
      <c r="A316" s="83" t="n"/>
      <c r="B316" s="151" t="n"/>
      <c r="C316" s="151" t="n"/>
      <c r="D316" s="151" t="n"/>
      <c r="E316" s="151" t="n"/>
      <c r="F316" s="83" t="n"/>
    </row>
    <row r="317" ht="15" customHeight="1" s="82">
      <c r="A317" s="83" t="n"/>
      <c r="B317" s="110" t="n"/>
      <c r="C317" s="110" t="n"/>
      <c r="D317" s="110" t="n"/>
      <c r="E317" s="110" t="n"/>
      <c r="F317" s="83" t="n"/>
    </row>
    <row r="318" ht="15" customHeight="1" s="82">
      <c r="A318" s="83" t="n"/>
      <c r="B318" s="151" t="n"/>
      <c r="C318" s="151" t="n"/>
      <c r="D318" s="151" t="n"/>
      <c r="E318" s="151" t="n"/>
      <c r="F318" s="83" t="n"/>
    </row>
    <row r="319" ht="15" customHeight="1" s="82">
      <c r="A319" s="83" t="n"/>
      <c r="B319" s="110" t="n"/>
      <c r="C319" s="110" t="n"/>
      <c r="D319" s="110" t="n"/>
      <c r="E319" s="110" t="n"/>
      <c r="F319" s="83" t="n"/>
    </row>
    <row r="320" ht="15" customHeight="1" s="82">
      <c r="A320" s="83" t="n"/>
      <c r="B320" s="151" t="n"/>
      <c r="C320" s="151" t="n"/>
      <c r="D320" s="151" t="n"/>
      <c r="E320" s="151" t="n"/>
      <c r="F320" s="83" t="n"/>
    </row>
    <row r="321" ht="15" customHeight="1" s="82">
      <c r="A321" s="83" t="n"/>
      <c r="B321" s="110" t="n"/>
      <c r="C321" s="110" t="n"/>
      <c r="D321" s="110" t="n"/>
      <c r="E321" s="110" t="n"/>
      <c r="F321" s="83" t="n"/>
    </row>
    <row r="322" ht="15" customHeight="1" s="82">
      <c r="A322" s="83" t="n"/>
      <c r="B322" s="151" t="n"/>
      <c r="C322" s="151" t="n"/>
      <c r="D322" s="151" t="n"/>
      <c r="E322" s="151" t="n"/>
      <c r="F322" s="83" t="n"/>
    </row>
    <row r="323" ht="15" customHeight="1" s="82">
      <c r="A323" s="83" t="n"/>
      <c r="B323" s="110" t="n"/>
      <c r="C323" s="110" t="n"/>
      <c r="D323" s="110" t="n"/>
      <c r="E323" s="110" t="n"/>
      <c r="F323" s="83" t="n"/>
    </row>
    <row r="324" ht="15" customHeight="1" s="82">
      <c r="A324" s="83" t="n"/>
      <c r="B324" s="151" t="n"/>
      <c r="C324" s="151" t="n"/>
      <c r="D324" s="151" t="n"/>
      <c r="E324" s="151" t="n"/>
      <c r="F324" s="83" t="n"/>
    </row>
    <row r="325" ht="15" customHeight="1" s="82">
      <c r="A325" s="83" t="n"/>
      <c r="B325" s="110" t="n"/>
      <c r="C325" s="110" t="n"/>
      <c r="D325" s="110" t="n"/>
      <c r="E325" s="110" t="n"/>
      <c r="F325" s="83" t="n"/>
    </row>
    <row r="326" ht="15" customHeight="1" s="82">
      <c r="A326" s="83" t="n"/>
      <c r="B326" s="151" t="n"/>
      <c r="C326" s="151" t="n"/>
      <c r="D326" s="151" t="n"/>
      <c r="E326" s="151" t="n"/>
      <c r="F326" s="83" t="n"/>
    </row>
    <row r="327" ht="15" customHeight="1" s="82">
      <c r="A327" s="83" t="n"/>
      <c r="B327" s="110" t="n"/>
      <c r="C327" s="110" t="n"/>
      <c r="D327" s="110" t="n"/>
      <c r="E327" s="110" t="n"/>
      <c r="F327" s="83" t="n"/>
    </row>
    <row r="328" ht="15" customHeight="1" s="82">
      <c r="A328" s="83" t="n"/>
      <c r="B328" s="151" t="n"/>
      <c r="C328" s="151" t="n"/>
      <c r="D328" s="151" t="n"/>
      <c r="E328" s="151" t="n"/>
      <c r="F328" s="83" t="n"/>
    </row>
    <row r="329" ht="15" customHeight="1" s="82">
      <c r="A329" s="83" t="n"/>
      <c r="B329" s="110" t="n"/>
      <c r="C329" s="110" t="n"/>
      <c r="D329" s="110" t="n"/>
      <c r="E329" s="110" t="n"/>
      <c r="F329" s="83" t="n"/>
    </row>
    <row r="330" ht="15" customHeight="1" s="82">
      <c r="A330" s="83" t="n"/>
      <c r="B330" s="151" t="n"/>
      <c r="C330" s="151" t="n"/>
      <c r="D330" s="151" t="n"/>
      <c r="E330" s="151" t="n"/>
      <c r="F330" s="83" t="n"/>
    </row>
    <row r="331" ht="15" customHeight="1" s="82">
      <c r="A331" s="83" t="n"/>
      <c r="B331" s="110" t="n"/>
      <c r="C331" s="110" t="n"/>
      <c r="D331" s="110" t="n"/>
      <c r="E331" s="110" t="n"/>
      <c r="F331" s="83" t="n"/>
    </row>
    <row r="332" ht="15" customHeight="1" s="82">
      <c r="A332" s="83" t="n"/>
      <c r="B332" s="151" t="n"/>
      <c r="C332" s="151" t="n"/>
      <c r="D332" s="151" t="n"/>
      <c r="E332" s="151" t="n"/>
      <c r="F332" s="83" t="n"/>
    </row>
    <row r="333" ht="15" customHeight="1" s="82">
      <c r="A333" s="83" t="n"/>
      <c r="B333" s="110" t="n"/>
      <c r="C333" s="110" t="n"/>
      <c r="D333" s="110" t="n"/>
      <c r="E333" s="110" t="n"/>
      <c r="F333" s="83" t="n"/>
    </row>
    <row r="334" ht="15" customHeight="1" s="82">
      <c r="A334" s="83" t="n"/>
      <c r="B334" s="151" t="n"/>
      <c r="C334" s="151" t="n"/>
      <c r="D334" s="151" t="n"/>
      <c r="E334" s="151" t="n"/>
      <c r="F334" s="83" t="n"/>
    </row>
    <row r="335" ht="15" customHeight="1" s="82">
      <c r="A335" s="83" t="n"/>
      <c r="B335" s="110" t="n"/>
      <c r="C335" s="110" t="n"/>
      <c r="D335" s="110" t="n"/>
      <c r="E335" s="110" t="n"/>
      <c r="F335" s="83" t="n"/>
    </row>
    <row r="336" ht="15" customHeight="1" s="82">
      <c r="A336" s="83" t="n"/>
      <c r="B336" s="151" t="n"/>
      <c r="C336" s="151" t="n"/>
      <c r="D336" s="151" t="n"/>
      <c r="E336" s="151" t="n"/>
      <c r="F336" s="83" t="n"/>
    </row>
    <row r="337" ht="15" customHeight="1" s="82">
      <c r="A337" s="83" t="n"/>
      <c r="B337" s="110" t="n"/>
      <c r="C337" s="110" t="n"/>
      <c r="D337" s="110" t="n"/>
      <c r="E337" s="110" t="n"/>
      <c r="F337" s="83" t="n"/>
    </row>
    <row r="338" ht="15" customHeight="1" s="82">
      <c r="A338" s="83" t="n"/>
      <c r="B338" s="151" t="n"/>
      <c r="C338" s="151" t="n"/>
      <c r="D338" s="151" t="n"/>
      <c r="E338" s="151" t="n"/>
      <c r="F338" s="83" t="n"/>
    </row>
    <row r="339" ht="15" customHeight="1" s="82">
      <c r="A339" s="83" t="n"/>
      <c r="B339" s="110" t="n"/>
      <c r="C339" s="110" t="n"/>
      <c r="D339" s="110" t="n"/>
      <c r="E339" s="110" t="n"/>
      <c r="F339" s="83" t="n"/>
    </row>
    <row r="340" ht="15" customHeight="1" s="82">
      <c r="A340" s="83" t="n"/>
      <c r="B340" s="151" t="n"/>
      <c r="C340" s="151" t="n"/>
      <c r="D340" s="151" t="n"/>
      <c r="E340" s="151" t="n"/>
      <c r="F340" s="83" t="n"/>
    </row>
    <row r="341" ht="15" customHeight="1" s="82">
      <c r="A341" s="83" t="n"/>
      <c r="B341" s="110" t="n"/>
      <c r="C341" s="110" t="n"/>
      <c r="D341" s="110" t="n"/>
      <c r="E341" s="110" t="n"/>
      <c r="F341" s="83" t="n"/>
    </row>
    <row r="342" ht="15" customHeight="1" s="82">
      <c r="A342" s="83" t="n"/>
      <c r="B342" s="151" t="n"/>
      <c r="C342" s="151" t="n"/>
      <c r="D342" s="151" t="n"/>
      <c r="E342" s="151" t="n"/>
      <c r="F342" s="83" t="n"/>
    </row>
    <row r="343" ht="15" customHeight="1" s="82">
      <c r="A343" s="83" t="n"/>
      <c r="B343" s="110" t="n"/>
      <c r="C343" s="110" t="n"/>
      <c r="D343" s="110" t="n"/>
      <c r="E343" s="110" t="n"/>
      <c r="F343" s="83" t="n"/>
    </row>
    <row r="344" ht="15" customHeight="1" s="82">
      <c r="A344" s="83" t="n"/>
      <c r="B344" s="151" t="n"/>
      <c r="C344" s="151" t="n"/>
      <c r="D344" s="151" t="n"/>
      <c r="E344" s="151" t="n"/>
      <c r="F344" s="83" t="n"/>
    </row>
    <row r="345" ht="15" customHeight="1" s="82">
      <c r="A345" s="83" t="n"/>
      <c r="B345" s="110" t="n"/>
      <c r="C345" s="110" t="n"/>
      <c r="D345" s="110" t="n"/>
      <c r="E345" s="110" t="n"/>
      <c r="F345" s="83" t="n"/>
    </row>
    <row r="346" ht="15" customHeight="1" s="82">
      <c r="A346" s="83" t="n"/>
      <c r="B346" s="151" t="n"/>
      <c r="C346" s="151" t="n"/>
      <c r="D346" s="151" t="n"/>
      <c r="E346" s="151" t="n"/>
      <c r="F346" s="83" t="n"/>
    </row>
    <row r="347" ht="15" customHeight="1" s="82">
      <c r="A347" s="83" t="n"/>
      <c r="B347" s="110" t="n"/>
      <c r="C347" s="110" t="n"/>
      <c r="D347" s="110" t="n"/>
      <c r="E347" s="110" t="n"/>
      <c r="F347" s="83" t="n"/>
    </row>
    <row r="348" ht="15" customHeight="1" s="82">
      <c r="A348" s="83" t="n"/>
      <c r="B348" s="151" t="n"/>
      <c r="C348" s="151" t="n"/>
      <c r="D348" s="151" t="n"/>
      <c r="E348" s="151" t="n"/>
      <c r="F348" s="83" t="n"/>
    </row>
    <row r="349" ht="15" customHeight="1" s="82">
      <c r="A349" s="83" t="n"/>
      <c r="B349" s="110" t="n"/>
      <c r="C349" s="110" t="n"/>
      <c r="D349" s="110" t="n"/>
      <c r="E349" s="110" t="n"/>
      <c r="F349" s="83" t="n"/>
    </row>
    <row r="350" ht="15" customHeight="1" s="82">
      <c r="A350" s="83" t="n"/>
      <c r="B350" s="151" t="n"/>
      <c r="C350" s="151" t="n"/>
      <c r="D350" s="151" t="n"/>
      <c r="E350" s="151" t="n"/>
      <c r="F350" s="83" t="n"/>
    </row>
    <row r="351" ht="15" customHeight="1" s="82">
      <c r="A351" s="83" t="n"/>
      <c r="B351" s="110" t="n"/>
      <c r="C351" s="110" t="n"/>
      <c r="D351" s="110" t="n"/>
      <c r="E351" s="110" t="n"/>
      <c r="F351" s="83" t="n"/>
    </row>
    <row r="352" ht="15" customHeight="1" s="82">
      <c r="A352" s="83" t="n"/>
      <c r="B352" s="151" t="n"/>
      <c r="C352" s="151" t="n"/>
      <c r="D352" s="151" t="n"/>
      <c r="E352" s="151" t="n"/>
      <c r="F352" s="83" t="n"/>
    </row>
    <row r="353" ht="15" customHeight="1" s="82">
      <c r="A353" s="83" t="n"/>
      <c r="B353" s="110" t="n"/>
      <c r="C353" s="110" t="n"/>
      <c r="D353" s="110" t="n"/>
      <c r="E353" s="110" t="n"/>
      <c r="F353" s="83" t="n"/>
    </row>
    <row r="354" ht="15" customHeight="1" s="82">
      <c r="A354" s="83" t="n"/>
      <c r="B354" s="151" t="n"/>
      <c r="C354" s="151" t="n"/>
      <c r="D354" s="151" t="n"/>
      <c r="E354" s="151" t="n"/>
      <c r="F354" s="83" t="n"/>
    </row>
    <row r="355" ht="15" customHeight="1" s="82">
      <c r="A355" s="83" t="n"/>
      <c r="B355" s="110" t="n"/>
      <c r="C355" s="110" t="n"/>
      <c r="D355" s="110" t="n"/>
      <c r="E355" s="110" t="n"/>
      <c r="F355" s="83" t="n"/>
    </row>
    <row r="356" ht="15" customHeight="1" s="82">
      <c r="A356" s="83" t="n"/>
      <c r="B356" s="151" t="n"/>
      <c r="C356" s="151" t="n"/>
      <c r="D356" s="151" t="n"/>
      <c r="E356" s="151" t="n"/>
      <c r="F356" s="83" t="n"/>
    </row>
    <row r="357" ht="15" customHeight="1" s="82">
      <c r="A357" s="83" t="n"/>
      <c r="B357" s="110" t="n"/>
      <c r="C357" s="110" t="n"/>
      <c r="D357" s="110" t="n"/>
      <c r="E357" s="110" t="n"/>
      <c r="F357" s="83" t="n"/>
    </row>
    <row r="358" ht="15" customHeight="1" s="82">
      <c r="A358" s="83" t="n"/>
      <c r="B358" s="151" t="n"/>
      <c r="C358" s="151" t="n"/>
      <c r="D358" s="151" t="n"/>
      <c r="E358" s="151" t="n"/>
      <c r="F358" s="83" t="n"/>
    </row>
    <row r="359" ht="15" customHeight="1" s="82">
      <c r="A359" s="83" t="n"/>
      <c r="B359" s="110" t="n"/>
      <c r="C359" s="110" t="n"/>
      <c r="D359" s="110" t="n"/>
      <c r="E359" s="110" t="n"/>
      <c r="F359" s="83" t="n"/>
    </row>
    <row r="360" ht="15" customHeight="1" s="82">
      <c r="A360" s="83" t="n"/>
      <c r="B360" s="151" t="n"/>
      <c r="C360" s="151" t="n"/>
      <c r="D360" s="151" t="n"/>
      <c r="E360" s="151" t="n"/>
      <c r="F360" s="83" t="n"/>
    </row>
    <row r="361" ht="15" customHeight="1" s="82">
      <c r="A361" s="83" t="n"/>
      <c r="B361" s="110" t="n"/>
      <c r="C361" s="110" t="n"/>
      <c r="D361" s="110" t="n"/>
      <c r="E361" s="110" t="n"/>
      <c r="F361" s="83" t="n"/>
    </row>
    <row r="362" ht="15" customHeight="1" s="82">
      <c r="A362" s="83" t="n"/>
      <c r="B362" s="151" t="n"/>
      <c r="C362" s="151" t="n"/>
      <c r="D362" s="151" t="n"/>
      <c r="E362" s="151" t="n"/>
      <c r="F362" s="83" t="n"/>
    </row>
    <row r="363" ht="15" customHeight="1" s="82">
      <c r="A363" s="83" t="n"/>
      <c r="B363" s="110" t="n"/>
      <c r="C363" s="110" t="n"/>
      <c r="D363" s="110" t="n"/>
      <c r="E363" s="110" t="n"/>
      <c r="F363" s="83" t="n"/>
    </row>
    <row r="364" ht="15" customHeight="1" s="82">
      <c r="A364" s="83" t="n"/>
      <c r="B364" s="151" t="n"/>
      <c r="C364" s="151" t="n"/>
      <c r="D364" s="151" t="n"/>
      <c r="E364" s="151" t="n"/>
      <c r="F364" s="83" t="n"/>
    </row>
    <row r="365" ht="15" customHeight="1" s="82">
      <c r="A365" s="83" t="n"/>
      <c r="B365" s="110" t="n"/>
      <c r="C365" s="110" t="n"/>
      <c r="D365" s="110" t="n"/>
      <c r="E365" s="110" t="n"/>
      <c r="F365" s="83" t="n"/>
    </row>
    <row r="366" ht="15" customHeight="1" s="82">
      <c r="A366" s="83" t="n"/>
      <c r="B366" s="151" t="n"/>
      <c r="C366" s="151" t="n"/>
      <c r="D366" s="151" t="n"/>
      <c r="E366" s="151" t="n"/>
      <c r="F366" s="83" t="n"/>
    </row>
    <row r="367" ht="15" customHeight="1" s="82">
      <c r="A367" s="83" t="n"/>
      <c r="B367" s="110" t="n"/>
      <c r="C367" s="110" t="n"/>
      <c r="D367" s="110" t="n"/>
      <c r="E367" s="110" t="n"/>
      <c r="F367" s="83" t="n"/>
    </row>
    <row r="368" ht="15" customHeight="1" s="82">
      <c r="A368" s="83" t="n"/>
      <c r="B368" s="151" t="n"/>
      <c r="C368" s="151" t="n"/>
      <c r="D368" s="151" t="n"/>
      <c r="E368" s="151" t="n"/>
      <c r="F368" s="83" t="n"/>
    </row>
    <row r="369" ht="15" customHeight="1" s="82">
      <c r="A369" s="83" t="n"/>
      <c r="B369" s="110" t="n"/>
      <c r="C369" s="110" t="n"/>
      <c r="D369" s="110" t="n"/>
      <c r="E369" s="110" t="n"/>
      <c r="F369" s="83" t="n"/>
    </row>
    <row r="370" ht="15" customHeight="1" s="82">
      <c r="A370" s="83" t="n"/>
      <c r="B370" s="151" t="n"/>
      <c r="C370" s="151" t="n"/>
      <c r="D370" s="151" t="n"/>
      <c r="E370" s="151" t="n"/>
      <c r="F370" s="83" t="n"/>
    </row>
    <row r="371" ht="15" customHeight="1" s="82">
      <c r="A371" s="83" t="n"/>
      <c r="B371" s="110" t="n"/>
      <c r="C371" s="110" t="n"/>
      <c r="D371" s="110" t="n"/>
      <c r="E371" s="110" t="n"/>
      <c r="F371" s="83" t="n"/>
    </row>
    <row r="372" ht="15" customHeight="1" s="82">
      <c r="A372" s="83" t="n"/>
      <c r="B372" s="151" t="n"/>
      <c r="C372" s="151" t="n"/>
      <c r="D372" s="151" t="n"/>
      <c r="E372" s="151" t="n"/>
      <c r="F372" s="83" t="n"/>
    </row>
    <row r="373" ht="15" customHeight="1" s="82">
      <c r="A373" s="83" t="n"/>
      <c r="B373" s="110" t="n"/>
      <c r="C373" s="110" t="n"/>
      <c r="D373" s="110" t="n"/>
      <c r="E373" s="110" t="n"/>
      <c r="F373" s="83" t="n"/>
    </row>
    <row r="374" ht="15" customHeight="1" s="82">
      <c r="A374" s="83" t="n"/>
      <c r="B374" s="151" t="n"/>
      <c r="C374" s="151" t="n"/>
      <c r="D374" s="151" t="n"/>
      <c r="E374" s="151" t="n"/>
      <c r="F374" s="83" t="n"/>
    </row>
    <row r="375" ht="15" customHeight="1" s="82">
      <c r="A375" s="83" t="n"/>
      <c r="B375" s="110" t="n"/>
      <c r="C375" s="110" t="n"/>
      <c r="D375" s="110" t="n"/>
      <c r="E375" s="110" t="n"/>
      <c r="F375" s="83" t="n"/>
    </row>
    <row r="376" ht="15" customHeight="1" s="82">
      <c r="A376" s="83" t="n"/>
      <c r="B376" s="151" t="n"/>
      <c r="C376" s="151" t="n"/>
      <c r="D376" s="151" t="n"/>
      <c r="E376" s="151" t="n"/>
      <c r="F376" s="83" t="n"/>
    </row>
    <row r="377" ht="15" customHeight="1" s="82">
      <c r="A377" s="83" t="n"/>
      <c r="B377" s="110" t="n"/>
      <c r="C377" s="110" t="n"/>
      <c r="D377" s="110" t="n"/>
      <c r="E377" s="110" t="n"/>
      <c r="F377" s="83" t="n"/>
    </row>
    <row r="378" ht="15" customHeight="1" s="82">
      <c r="A378" s="83" t="n"/>
      <c r="B378" s="151" t="n"/>
      <c r="C378" s="151" t="n"/>
      <c r="D378" s="151" t="n"/>
      <c r="E378" s="151" t="n"/>
      <c r="F378" s="83" t="n"/>
    </row>
    <row r="379" ht="15" customHeight="1" s="82">
      <c r="A379" s="83" t="n"/>
      <c r="B379" s="110" t="n"/>
      <c r="C379" s="110" t="n"/>
      <c r="D379" s="110" t="n"/>
      <c r="E379" s="110" t="n"/>
      <c r="F379" s="83" t="n"/>
    </row>
    <row r="380" ht="15" customHeight="1" s="82">
      <c r="A380" s="83" t="n"/>
      <c r="B380" s="151" t="n"/>
      <c r="C380" s="151" t="n"/>
      <c r="D380" s="151" t="n"/>
      <c r="E380" s="151" t="n"/>
      <c r="F380" s="83" t="n"/>
    </row>
    <row r="381" ht="15" customHeight="1" s="82">
      <c r="A381" s="83" t="n"/>
      <c r="B381" s="110" t="n"/>
      <c r="C381" s="110" t="n"/>
      <c r="D381" s="110" t="n"/>
      <c r="E381" s="110" t="n"/>
      <c r="F381" s="83" t="n"/>
    </row>
    <row r="382" ht="15" customHeight="1" s="82">
      <c r="A382" s="83" t="n"/>
      <c r="B382" s="151" t="n"/>
      <c r="C382" s="151" t="n"/>
      <c r="D382" s="151" t="n"/>
      <c r="E382" s="151" t="n"/>
      <c r="F382" s="83" t="n"/>
    </row>
    <row r="383" ht="15" customHeight="1" s="82">
      <c r="A383" s="83" t="n"/>
      <c r="B383" s="110" t="n"/>
      <c r="C383" s="110" t="n"/>
      <c r="D383" s="110" t="n"/>
      <c r="E383" s="110" t="n"/>
      <c r="F383" s="83" t="n"/>
    </row>
    <row r="384" ht="15" customHeight="1" s="82">
      <c r="A384" s="83" t="n"/>
      <c r="B384" s="151" t="n"/>
      <c r="C384" s="151" t="n"/>
      <c r="D384" s="151" t="n"/>
      <c r="E384" s="151" t="n"/>
      <c r="F384" s="83" t="n"/>
    </row>
    <row r="385" ht="15" customHeight="1" s="82">
      <c r="A385" s="83" t="n"/>
      <c r="B385" s="110" t="n"/>
      <c r="C385" s="110" t="n"/>
      <c r="D385" s="110" t="n"/>
      <c r="E385" s="110" t="n"/>
      <c r="F385" s="83" t="n"/>
    </row>
    <row r="386" ht="15" customHeight="1" s="82">
      <c r="A386" s="83" t="n"/>
      <c r="B386" s="151" t="n"/>
      <c r="C386" s="151" t="n"/>
      <c r="D386" s="151" t="n"/>
      <c r="E386" s="151" t="n"/>
      <c r="F386" s="83" t="n"/>
    </row>
    <row r="387" ht="15" customHeight="1" s="82">
      <c r="A387" s="83" t="n"/>
      <c r="B387" s="110" t="n"/>
      <c r="C387" s="110" t="n"/>
      <c r="D387" s="110" t="n"/>
      <c r="E387" s="110" t="n"/>
      <c r="F387" s="83" t="n"/>
    </row>
    <row r="388" ht="15" customHeight="1" s="82">
      <c r="A388" s="83" t="n"/>
      <c r="B388" s="151" t="n"/>
      <c r="C388" s="151" t="n"/>
      <c r="D388" s="151" t="n"/>
      <c r="E388" s="151" t="n"/>
      <c r="F388" s="83" t="n"/>
    </row>
    <row r="389" ht="15" customHeight="1" s="82">
      <c r="A389" s="83" t="n"/>
      <c r="B389" s="110" t="n"/>
      <c r="C389" s="110" t="n"/>
      <c r="D389" s="110" t="n"/>
      <c r="E389" s="110" t="n"/>
      <c r="F389" s="83" t="n"/>
    </row>
    <row r="390" ht="15" customHeight="1" s="82">
      <c r="A390" s="83" t="n"/>
      <c r="B390" s="151" t="n"/>
      <c r="C390" s="151" t="n"/>
      <c r="D390" s="151" t="n"/>
      <c r="E390" s="151" t="n"/>
      <c r="F390" s="83" t="n"/>
    </row>
    <row r="391" ht="15" customHeight="1" s="82">
      <c r="A391" s="83" t="n"/>
      <c r="B391" s="110" t="n"/>
      <c r="C391" s="110" t="n"/>
      <c r="D391" s="110" t="n"/>
      <c r="E391" s="110" t="n"/>
      <c r="F391" s="83" t="n"/>
    </row>
    <row r="392" ht="15" customHeight="1" s="82">
      <c r="A392" s="83" t="n"/>
      <c r="B392" s="151" t="n"/>
      <c r="C392" s="151" t="n"/>
      <c r="D392" s="151" t="n"/>
      <c r="E392" s="151" t="n"/>
      <c r="F392" s="83" t="n"/>
    </row>
    <row r="393" ht="15" customHeight="1" s="82">
      <c r="A393" s="83" t="n"/>
      <c r="B393" s="110" t="n"/>
      <c r="C393" s="110" t="n"/>
      <c r="D393" s="110" t="n"/>
      <c r="E393" s="110" t="n"/>
      <c r="F393" s="83" t="n"/>
    </row>
    <row r="394" ht="15" customHeight="1" s="82">
      <c r="A394" s="83" t="n"/>
      <c r="B394" s="151" t="n"/>
      <c r="C394" s="151" t="n"/>
      <c r="D394" s="151" t="n"/>
      <c r="E394" s="151" t="n"/>
      <c r="F394" s="83" t="n"/>
    </row>
    <row r="395" ht="15" customHeight="1" s="82">
      <c r="A395" s="83" t="n"/>
      <c r="B395" s="110" t="n"/>
      <c r="C395" s="110" t="n"/>
      <c r="D395" s="110" t="n"/>
      <c r="E395" s="110" t="n"/>
      <c r="F395" s="83" t="n"/>
    </row>
    <row r="396" ht="15" customHeight="1" s="82">
      <c r="A396" s="83" t="n"/>
      <c r="B396" s="151" t="n"/>
      <c r="C396" s="151" t="n"/>
      <c r="D396" s="151" t="n"/>
      <c r="E396" s="151" t="n"/>
      <c r="F396" s="83" t="n"/>
    </row>
    <row r="397" ht="15" customHeight="1" s="82">
      <c r="A397" s="83" t="n"/>
      <c r="B397" s="110" t="n"/>
      <c r="C397" s="110" t="n"/>
      <c r="D397" s="110" t="n"/>
      <c r="E397" s="110" t="n"/>
      <c r="F397" s="83" t="n"/>
    </row>
    <row r="398" ht="15" customHeight="1" s="82">
      <c r="A398" s="83" t="n"/>
      <c r="B398" s="151" t="n"/>
      <c r="C398" s="151" t="n"/>
      <c r="D398" s="151" t="n"/>
      <c r="E398" s="151" t="n"/>
      <c r="F398" s="83" t="n"/>
    </row>
    <row r="399" ht="15" customHeight="1" s="82">
      <c r="A399" s="83" t="n"/>
      <c r="B399" s="110" t="n"/>
      <c r="C399" s="110" t="n"/>
      <c r="D399" s="110" t="n"/>
      <c r="E399" s="110" t="n"/>
      <c r="F399" s="83" t="n"/>
    </row>
    <row r="400" ht="15" customHeight="1" s="82">
      <c r="A400" s="83" t="n"/>
      <c r="B400" s="151" t="n"/>
      <c r="C400" s="151" t="n"/>
      <c r="D400" s="151" t="n"/>
      <c r="E400" s="151" t="n"/>
      <c r="F400" s="83" t="n"/>
    </row>
    <row r="401" ht="15" customHeight="1" s="82">
      <c r="A401" s="83" t="n"/>
      <c r="B401" s="110" t="n"/>
      <c r="C401" s="110" t="n"/>
      <c r="D401" s="110" t="n"/>
      <c r="E401" s="110" t="n"/>
      <c r="F401" s="83" t="n"/>
    </row>
    <row r="402" ht="15" customHeight="1" s="82">
      <c r="A402" s="83" t="n"/>
      <c r="B402" s="151" t="n"/>
      <c r="C402" s="151" t="n"/>
      <c r="D402" s="151" t="n"/>
      <c r="E402" s="151" t="n"/>
      <c r="F402" s="83" t="n"/>
    </row>
    <row r="403" ht="15" customHeight="1" s="82">
      <c r="A403" s="83" t="n"/>
      <c r="B403" s="110" t="n"/>
      <c r="C403" s="110" t="n"/>
      <c r="D403" s="110" t="n"/>
      <c r="E403" s="110" t="n"/>
      <c r="F403" s="83" t="n"/>
    </row>
    <row r="404" ht="15" customHeight="1" s="82">
      <c r="A404" s="83" t="n"/>
      <c r="B404" s="151" t="n"/>
      <c r="C404" s="151" t="n"/>
      <c r="D404" s="151" t="n"/>
      <c r="E404" s="151" t="n"/>
      <c r="F404" s="83" t="n"/>
    </row>
    <row r="405" ht="15" customHeight="1" s="82">
      <c r="A405" s="83" t="n"/>
      <c r="B405" s="110" t="n"/>
      <c r="C405" s="110" t="n"/>
      <c r="D405" s="110" t="n"/>
      <c r="E405" s="110" t="n"/>
      <c r="F405" s="83" t="n"/>
    </row>
    <row r="406" ht="15" customHeight="1" s="82">
      <c r="A406" s="83" t="n"/>
      <c r="B406" s="151" t="n"/>
      <c r="C406" s="151" t="n"/>
      <c r="D406" s="151" t="n"/>
      <c r="E406" s="151" t="n"/>
      <c r="F406" s="83" t="n"/>
    </row>
    <row r="407" ht="15" customHeight="1" s="82">
      <c r="A407" s="83" t="n"/>
      <c r="B407" s="110" t="n"/>
      <c r="C407" s="110" t="n"/>
      <c r="D407" s="110" t="n"/>
      <c r="E407" s="110" t="n"/>
      <c r="F407" s="83" t="n"/>
    </row>
    <row r="408" ht="15" customHeight="1" s="82">
      <c r="A408" s="83" t="n"/>
      <c r="B408" s="151" t="n"/>
      <c r="C408" s="151" t="n"/>
      <c r="D408" s="151" t="n"/>
      <c r="E408" s="151" t="n"/>
      <c r="F408" s="83" t="n"/>
    </row>
    <row r="409" ht="15" customHeight="1" s="82">
      <c r="A409" s="83" t="n"/>
      <c r="B409" s="110" t="n"/>
      <c r="C409" s="110" t="n"/>
      <c r="D409" s="110" t="n"/>
      <c r="E409" s="110" t="n"/>
      <c r="F409" s="83" t="n"/>
    </row>
    <row r="410" ht="15" customHeight="1" s="82">
      <c r="A410" s="83" t="n"/>
      <c r="B410" s="151" t="n"/>
      <c r="C410" s="151" t="n"/>
      <c r="D410" s="151" t="n"/>
      <c r="E410" s="151" t="n"/>
      <c r="F410" s="83" t="n"/>
    </row>
    <row r="411" ht="15" customHeight="1" s="82">
      <c r="A411" s="83" t="n"/>
      <c r="B411" s="110" t="n"/>
      <c r="C411" s="110" t="n"/>
      <c r="D411" s="110" t="n"/>
      <c r="E411" s="110" t="n"/>
      <c r="F411" s="83" t="n"/>
    </row>
    <row r="412" ht="15" customHeight="1" s="82">
      <c r="A412" s="83" t="n"/>
      <c r="B412" s="151" t="n"/>
      <c r="C412" s="151" t="n"/>
      <c r="D412" s="151" t="n"/>
      <c r="E412" s="151" t="n"/>
      <c r="F412" s="83" t="n"/>
    </row>
    <row r="413" ht="15" customHeight="1" s="82">
      <c r="A413" s="83" t="n"/>
      <c r="B413" s="110" t="n"/>
      <c r="C413" s="110" t="n"/>
      <c r="D413" s="110" t="n"/>
      <c r="E413" s="110" t="n"/>
      <c r="F413" s="83" t="n"/>
    </row>
    <row r="414" ht="15" customHeight="1" s="82">
      <c r="A414" s="83" t="n"/>
      <c r="B414" s="151" t="n"/>
      <c r="C414" s="151" t="n"/>
      <c r="D414" s="151" t="n"/>
      <c r="E414" s="151" t="n"/>
      <c r="F414" s="83" t="n"/>
    </row>
    <row r="415" ht="15" customHeight="1" s="82">
      <c r="A415" s="83" t="n"/>
      <c r="B415" s="110" t="n"/>
      <c r="C415" s="110" t="n"/>
      <c r="D415" s="110" t="n"/>
      <c r="E415" s="110" t="n"/>
      <c r="F415" s="83" t="n"/>
    </row>
    <row r="416" ht="15" customHeight="1" s="82">
      <c r="A416" s="83" t="n"/>
      <c r="B416" s="151" t="n"/>
      <c r="C416" s="151" t="n"/>
      <c r="D416" s="151" t="n"/>
      <c r="E416" s="151" t="n"/>
      <c r="F416" s="83" t="n"/>
    </row>
    <row r="417" ht="15" customHeight="1" s="82">
      <c r="A417" s="83" t="n"/>
      <c r="B417" s="110" t="n"/>
      <c r="C417" s="110" t="n"/>
      <c r="D417" s="110" t="n"/>
      <c r="E417" s="110" t="n"/>
      <c r="F417" s="83" t="n"/>
    </row>
    <row r="418" ht="15" customHeight="1" s="82">
      <c r="A418" s="83" t="n"/>
      <c r="B418" s="151" t="n"/>
      <c r="C418" s="151" t="n"/>
      <c r="D418" s="151" t="n"/>
      <c r="E418" s="151" t="n"/>
      <c r="F418" s="83" t="n"/>
    </row>
    <row r="419" ht="15" customHeight="1" s="82">
      <c r="A419" s="83" t="n"/>
      <c r="B419" s="110" t="n"/>
      <c r="C419" s="110" t="n"/>
      <c r="D419" s="110" t="n"/>
      <c r="E419" s="110" t="n"/>
      <c r="F419" s="83" t="n"/>
    </row>
    <row r="420" ht="15" customHeight="1" s="82">
      <c r="A420" s="83" t="n"/>
      <c r="B420" s="151" t="n"/>
      <c r="C420" s="151" t="n"/>
      <c r="D420" s="151" t="n"/>
      <c r="E420" s="151" t="n"/>
      <c r="F420" s="83" t="n"/>
    </row>
    <row r="421" ht="15" customHeight="1" s="82">
      <c r="A421" s="83" t="n"/>
      <c r="B421" s="110" t="n"/>
      <c r="C421" s="110" t="n"/>
      <c r="D421" s="110" t="n"/>
      <c r="E421" s="110" t="n"/>
      <c r="F421" s="83" t="n"/>
    </row>
    <row r="422" ht="15" customHeight="1" s="82">
      <c r="A422" s="83" t="n"/>
      <c r="B422" s="151" t="n"/>
      <c r="C422" s="151" t="n"/>
      <c r="D422" s="151" t="n"/>
      <c r="E422" s="151" t="n"/>
      <c r="F422" s="83" t="n"/>
    </row>
    <row r="423" ht="15" customHeight="1" s="82">
      <c r="A423" s="83" t="n"/>
      <c r="B423" s="110" t="n"/>
      <c r="C423" s="110" t="n"/>
      <c r="D423" s="110" t="n"/>
      <c r="E423" s="110" t="n"/>
      <c r="F423" s="83" t="n"/>
    </row>
    <row r="424" ht="15" customHeight="1" s="82">
      <c r="A424" s="83" t="n"/>
      <c r="B424" s="151" t="n"/>
      <c r="C424" s="151" t="n"/>
      <c r="D424" s="151" t="n"/>
      <c r="E424" s="151" t="n"/>
      <c r="F424" s="83" t="n"/>
    </row>
    <row r="425" ht="15" customHeight="1" s="82">
      <c r="A425" s="83" t="n"/>
      <c r="B425" s="110" t="n"/>
      <c r="C425" s="110" t="n"/>
      <c r="D425" s="110" t="n"/>
      <c r="E425" s="110" t="n"/>
      <c r="F425" s="83" t="n"/>
    </row>
    <row r="426" ht="15" customHeight="1" s="82">
      <c r="A426" s="83" t="n"/>
      <c r="B426" s="151" t="n"/>
      <c r="C426" s="151" t="n"/>
      <c r="D426" s="151" t="n"/>
      <c r="E426" s="151" t="n"/>
      <c r="F426" s="83" t="n"/>
    </row>
    <row r="427" ht="15" customHeight="1" s="82">
      <c r="A427" s="83" t="n"/>
      <c r="B427" s="110" t="n"/>
      <c r="C427" s="110" t="n"/>
      <c r="D427" s="110" t="n"/>
      <c r="E427" s="110" t="n"/>
      <c r="F427" s="83" t="n"/>
    </row>
    <row r="428" ht="15" customHeight="1" s="82">
      <c r="A428" s="83" t="n"/>
      <c r="B428" s="151" t="n"/>
      <c r="C428" s="151" t="n"/>
      <c r="D428" s="151" t="n"/>
      <c r="E428" s="151" t="n"/>
      <c r="F428" s="83" t="n"/>
    </row>
    <row r="429" ht="15" customHeight="1" s="82">
      <c r="A429" s="83" t="n"/>
      <c r="B429" s="110" t="n"/>
      <c r="C429" s="110" t="n"/>
      <c r="D429" s="110" t="n"/>
      <c r="E429" s="110" t="n"/>
      <c r="F429" s="83" t="n"/>
    </row>
    <row r="430" ht="15" customHeight="1" s="82">
      <c r="A430" s="83" t="n"/>
      <c r="B430" s="151" t="n"/>
      <c r="C430" s="151" t="n"/>
      <c r="D430" s="151" t="n"/>
      <c r="E430" s="151" t="n"/>
      <c r="F430" s="83" t="n"/>
    </row>
    <row r="431" ht="15" customHeight="1" s="82">
      <c r="A431" s="83" t="n"/>
      <c r="B431" s="110" t="n"/>
      <c r="C431" s="110" t="n"/>
      <c r="D431" s="110" t="n"/>
      <c r="E431" s="110" t="n"/>
      <c r="F431" s="83" t="n"/>
    </row>
    <row r="432" ht="15" customHeight="1" s="82">
      <c r="A432" s="83" t="n"/>
      <c r="B432" s="151" t="n"/>
      <c r="C432" s="151" t="n"/>
      <c r="D432" s="151" t="n"/>
      <c r="E432" s="151" t="n"/>
      <c r="F432" s="83" t="n"/>
    </row>
    <row r="433" ht="15" customHeight="1" s="82">
      <c r="A433" s="83" t="n"/>
      <c r="B433" s="110" t="n"/>
      <c r="C433" s="110" t="n"/>
      <c r="D433" s="110" t="n"/>
      <c r="E433" s="110" t="n"/>
      <c r="F433" s="83" t="n"/>
    </row>
    <row r="434" ht="15" customHeight="1" s="82">
      <c r="A434" s="83" t="n"/>
      <c r="B434" s="151" t="n"/>
      <c r="C434" s="151" t="n"/>
      <c r="D434" s="151" t="n"/>
      <c r="E434" s="151" t="n"/>
      <c r="F434" s="83" t="n"/>
    </row>
    <row r="435" ht="15" customHeight="1" s="82">
      <c r="A435" s="83" t="n"/>
      <c r="B435" s="110" t="n"/>
      <c r="C435" s="110" t="n"/>
      <c r="D435" s="110" t="n"/>
      <c r="E435" s="110" t="n"/>
      <c r="F435" s="83" t="n"/>
    </row>
    <row r="436" ht="15" customHeight="1" s="82">
      <c r="A436" s="83" t="n"/>
      <c r="B436" s="151" t="n"/>
      <c r="C436" s="151" t="n"/>
      <c r="D436" s="151" t="n"/>
      <c r="E436" s="151" t="n"/>
      <c r="F436" s="83" t="n"/>
    </row>
    <row r="437" ht="15" customHeight="1" s="82">
      <c r="A437" s="83" t="n"/>
      <c r="B437" s="110" t="n"/>
      <c r="C437" s="110" t="n"/>
      <c r="D437" s="110" t="n"/>
      <c r="E437" s="110" t="n"/>
      <c r="F437" s="83" t="n"/>
    </row>
    <row r="438" ht="15" customHeight="1" s="82">
      <c r="A438" s="83" t="n"/>
      <c r="B438" s="151" t="n"/>
      <c r="C438" s="151" t="n"/>
      <c r="D438" s="151" t="n"/>
      <c r="E438" s="151" t="n"/>
      <c r="F438" s="83" t="n"/>
    </row>
    <row r="439" ht="15" customHeight="1" s="82">
      <c r="A439" s="83" t="n"/>
      <c r="B439" s="110" t="n"/>
      <c r="C439" s="110" t="n"/>
      <c r="D439" s="110" t="n"/>
      <c r="E439" s="110" t="n"/>
      <c r="F439" s="83" t="n"/>
    </row>
    <row r="440" ht="15" customHeight="1" s="82">
      <c r="A440" s="83" t="n"/>
      <c r="B440" s="151" t="n"/>
      <c r="C440" s="151" t="n"/>
      <c r="D440" s="151" t="n"/>
      <c r="E440" s="151" t="n"/>
      <c r="F440" s="83" t="n"/>
    </row>
    <row r="441" ht="15" customHeight="1" s="82">
      <c r="A441" s="83" t="n"/>
      <c r="B441" s="110" t="n"/>
      <c r="C441" s="110" t="n"/>
      <c r="D441" s="110" t="n"/>
      <c r="E441" s="110" t="n"/>
      <c r="F441" s="83" t="n"/>
    </row>
    <row r="442" ht="15" customHeight="1" s="82">
      <c r="A442" s="83" t="n"/>
      <c r="B442" s="151" t="n"/>
      <c r="C442" s="151" t="n"/>
      <c r="D442" s="151" t="n"/>
      <c r="E442" s="151" t="n"/>
      <c r="F442" s="83" t="n"/>
    </row>
    <row r="443" ht="15" customHeight="1" s="82">
      <c r="A443" s="83" t="n"/>
      <c r="B443" s="110" t="n"/>
      <c r="C443" s="110" t="n"/>
      <c r="D443" s="110" t="n"/>
      <c r="E443" s="110" t="n"/>
      <c r="F443" s="83" t="n"/>
    </row>
    <row r="444" ht="15" customHeight="1" s="82">
      <c r="A444" s="83" t="n"/>
      <c r="B444" s="151" t="n"/>
      <c r="C444" s="151" t="n"/>
      <c r="D444" s="151" t="n"/>
      <c r="E444" s="151" t="n"/>
      <c r="F444" s="83" t="n"/>
    </row>
    <row r="445" ht="15" customHeight="1" s="82">
      <c r="A445" s="83" t="n"/>
      <c r="B445" s="110" t="n"/>
      <c r="C445" s="110" t="n"/>
      <c r="D445" s="110" t="n"/>
      <c r="E445" s="110" t="n"/>
      <c r="F445" s="83" t="n"/>
    </row>
    <row r="446" ht="15" customHeight="1" s="82">
      <c r="A446" s="83" t="n"/>
      <c r="B446" s="151" t="n"/>
      <c r="C446" s="151" t="n"/>
      <c r="D446" s="151" t="n"/>
      <c r="E446" s="151" t="n"/>
      <c r="F446" s="83" t="n"/>
    </row>
    <row r="447" ht="15" customHeight="1" s="82">
      <c r="A447" s="83" t="n"/>
      <c r="B447" s="110" t="n"/>
      <c r="C447" s="110" t="n"/>
      <c r="D447" s="110" t="n"/>
      <c r="E447" s="110" t="n"/>
      <c r="F447" s="83" t="n"/>
    </row>
    <row r="448" ht="15" customHeight="1" s="82">
      <c r="A448" s="83" t="n"/>
      <c r="B448" s="151" t="n"/>
      <c r="C448" s="151" t="n"/>
      <c r="D448" s="151" t="n"/>
      <c r="E448" s="151" t="n"/>
      <c r="F448" s="83" t="n"/>
    </row>
    <row r="449" ht="15" customHeight="1" s="82">
      <c r="A449" s="83" t="n"/>
      <c r="B449" s="110" t="n"/>
      <c r="C449" s="110" t="n"/>
      <c r="D449" s="110" t="n"/>
      <c r="E449" s="110" t="n"/>
      <c r="F449" s="83" t="n"/>
    </row>
    <row r="450" ht="15" customHeight="1" s="82">
      <c r="A450" s="83" t="n"/>
      <c r="B450" s="151" t="n"/>
      <c r="C450" s="151" t="n"/>
      <c r="D450" s="151" t="n"/>
      <c r="E450" s="151" t="n"/>
      <c r="F450" s="83" t="n"/>
    </row>
    <row r="451" ht="15" customHeight="1" s="82">
      <c r="A451" s="83" t="n"/>
      <c r="B451" s="110" t="n"/>
      <c r="C451" s="110" t="n"/>
      <c r="D451" s="110" t="n"/>
      <c r="E451" s="110" t="n"/>
      <c r="F451" s="83" t="n"/>
    </row>
    <row r="452" ht="15" customHeight="1" s="82">
      <c r="A452" s="83" t="n"/>
      <c r="B452" s="151" t="n"/>
      <c r="C452" s="151" t="n"/>
      <c r="D452" s="151" t="n"/>
      <c r="E452" s="151" t="n"/>
      <c r="F452" s="83" t="n"/>
    </row>
    <row r="453" ht="15" customHeight="1" s="82">
      <c r="A453" s="83" t="n"/>
      <c r="B453" s="110" t="n"/>
      <c r="C453" s="110" t="n"/>
      <c r="D453" s="110" t="n"/>
      <c r="E453" s="110" t="n"/>
      <c r="F453" s="83" t="n"/>
    </row>
    <row r="454" ht="15" customHeight="1" s="82">
      <c r="A454" s="83" t="n"/>
      <c r="B454" s="151" t="n"/>
      <c r="C454" s="151" t="n"/>
      <c r="D454" s="151" t="n"/>
      <c r="E454" s="151" t="n"/>
      <c r="F454" s="83" t="n"/>
    </row>
    <row r="455" ht="15" customHeight="1" s="82">
      <c r="A455" s="83" t="n"/>
      <c r="B455" s="110" t="n"/>
      <c r="C455" s="110" t="n"/>
      <c r="D455" s="110" t="n"/>
      <c r="E455" s="110" t="n"/>
      <c r="F455" s="83" t="n"/>
    </row>
    <row r="456" ht="15" customHeight="1" s="82">
      <c r="A456" s="83" t="n"/>
      <c r="B456" s="151" t="n"/>
      <c r="C456" s="151" t="n"/>
      <c r="D456" s="151" t="n"/>
      <c r="E456" s="151" t="n"/>
      <c r="F456" s="83" t="n"/>
    </row>
    <row r="457" ht="15" customHeight="1" s="82">
      <c r="A457" s="83" t="n"/>
      <c r="B457" s="110" t="n"/>
      <c r="C457" s="110" t="n"/>
      <c r="D457" s="110" t="n"/>
      <c r="E457" s="110" t="n"/>
      <c r="F457" s="83" t="n"/>
    </row>
    <row r="458" ht="15" customHeight="1" s="82">
      <c r="A458" s="83" t="n"/>
      <c r="B458" s="151" t="n"/>
      <c r="C458" s="151" t="n"/>
      <c r="D458" s="151" t="n"/>
      <c r="E458" s="151" t="n"/>
      <c r="F458" s="83" t="n"/>
    </row>
    <row r="459" ht="15" customHeight="1" s="82">
      <c r="A459" s="83" t="n"/>
      <c r="B459" s="110" t="n"/>
      <c r="C459" s="110" t="n"/>
      <c r="D459" s="110" t="n"/>
      <c r="E459" s="110" t="n"/>
      <c r="F459" s="83" t="n"/>
    </row>
    <row r="460" ht="15" customHeight="1" s="82">
      <c r="A460" s="83" t="n"/>
      <c r="B460" s="151" t="n"/>
      <c r="C460" s="151" t="n"/>
      <c r="D460" s="151" t="n"/>
      <c r="E460" s="151" t="n"/>
      <c r="F460" s="83" t="n"/>
    </row>
    <row r="461" ht="15" customHeight="1" s="82">
      <c r="A461" s="83" t="n"/>
      <c r="B461" s="110" t="n"/>
      <c r="C461" s="110" t="n"/>
      <c r="D461" s="110" t="n"/>
      <c r="E461" s="110" t="n"/>
      <c r="F461" s="83" t="n"/>
    </row>
    <row r="462" ht="15" customHeight="1" s="82">
      <c r="A462" s="83" t="n"/>
      <c r="B462" s="151" t="n"/>
      <c r="C462" s="151" t="n"/>
      <c r="D462" s="151" t="n"/>
      <c r="E462" s="151" t="n"/>
      <c r="F462" s="83" t="n"/>
    </row>
    <row r="463" ht="15" customHeight="1" s="82">
      <c r="A463" s="83" t="n"/>
      <c r="B463" s="110" t="n"/>
      <c r="C463" s="110" t="n"/>
      <c r="D463" s="110" t="n"/>
      <c r="E463" s="110" t="n"/>
      <c r="F463" s="83" t="n"/>
    </row>
    <row r="464" ht="15" customHeight="1" s="82">
      <c r="A464" s="83" t="n"/>
      <c r="B464" s="151" t="n"/>
      <c r="C464" s="151" t="n"/>
      <c r="D464" s="151" t="n"/>
      <c r="E464" s="151" t="n"/>
      <c r="F464" s="83" t="n"/>
    </row>
    <row r="465" ht="15" customHeight="1" s="82">
      <c r="A465" s="83" t="n"/>
      <c r="B465" s="110" t="n"/>
      <c r="C465" s="110" t="n"/>
      <c r="D465" s="110" t="n"/>
      <c r="E465" s="110" t="n"/>
      <c r="F465" s="83" t="n"/>
    </row>
    <row r="466" ht="15" customHeight="1" s="82">
      <c r="A466" s="83" t="n"/>
      <c r="B466" s="151" t="n"/>
      <c r="C466" s="151" t="n"/>
      <c r="D466" s="151" t="n"/>
      <c r="E466" s="151" t="n"/>
      <c r="F466" s="83" t="n"/>
    </row>
    <row r="467" ht="15" customHeight="1" s="82">
      <c r="A467" s="83" t="n"/>
      <c r="B467" s="110" t="n"/>
      <c r="C467" s="110" t="n"/>
      <c r="D467" s="110" t="n"/>
      <c r="E467" s="110" t="n"/>
      <c r="F467" s="83" t="n"/>
    </row>
    <row r="468" ht="15" customHeight="1" s="82">
      <c r="A468" s="83" t="n"/>
      <c r="B468" s="151" t="n"/>
      <c r="C468" s="151" t="n"/>
      <c r="D468" s="151" t="n"/>
      <c r="E468" s="151" t="n"/>
      <c r="F468" s="83" t="n"/>
    </row>
    <row r="469" ht="15" customHeight="1" s="82">
      <c r="A469" s="83" t="n"/>
      <c r="B469" s="110" t="n"/>
      <c r="C469" s="110" t="n"/>
      <c r="D469" s="110" t="n"/>
      <c r="E469" s="110" t="n"/>
      <c r="F469" s="83" t="n"/>
    </row>
    <row r="470" ht="15" customHeight="1" s="82">
      <c r="A470" s="83" t="n"/>
      <c r="B470" s="151" t="n"/>
      <c r="C470" s="151" t="n"/>
      <c r="D470" s="151" t="n"/>
      <c r="E470" s="151" t="n"/>
      <c r="F470" s="83" t="n"/>
    </row>
    <row r="471" ht="15" customHeight="1" s="82">
      <c r="A471" s="83" t="n"/>
      <c r="B471" s="110" t="n"/>
      <c r="C471" s="110" t="n"/>
      <c r="D471" s="110" t="n"/>
      <c r="E471" s="110" t="n"/>
      <c r="F471" s="83" t="n"/>
    </row>
    <row r="472" ht="15" customHeight="1" s="82">
      <c r="A472" s="83" t="n"/>
      <c r="B472" s="151" t="n"/>
      <c r="C472" s="151" t="n"/>
      <c r="D472" s="151" t="n"/>
      <c r="E472" s="151" t="n"/>
      <c r="F472" s="83" t="n"/>
    </row>
    <row r="473" ht="15" customHeight="1" s="82">
      <c r="A473" s="83" t="n"/>
      <c r="B473" s="110" t="n"/>
      <c r="C473" s="110" t="n"/>
      <c r="D473" s="110" t="n"/>
      <c r="E473" s="110" t="n"/>
      <c r="F473" s="83" t="n"/>
    </row>
    <row r="474" ht="15" customHeight="1" s="82">
      <c r="A474" s="83" t="n"/>
      <c r="B474" s="151" t="n"/>
      <c r="C474" s="151" t="n"/>
      <c r="D474" s="151" t="n"/>
      <c r="E474" s="151" t="n"/>
      <c r="F474" s="83" t="n"/>
    </row>
    <row r="475" ht="15" customHeight="1" s="82">
      <c r="A475" s="83" t="n"/>
      <c r="B475" s="110" t="n"/>
      <c r="C475" s="110" t="n"/>
      <c r="D475" s="110" t="n"/>
      <c r="E475" s="110" t="n"/>
      <c r="F475" s="83" t="n"/>
    </row>
    <row r="476" ht="15" customHeight="1" s="82">
      <c r="A476" s="83" t="n"/>
      <c r="B476" s="151" t="n"/>
      <c r="C476" s="151" t="n"/>
      <c r="D476" s="151" t="n"/>
      <c r="E476" s="151" t="n"/>
      <c r="F476" s="83" t="n"/>
    </row>
    <row r="477" ht="15" customHeight="1" s="82">
      <c r="A477" s="83" t="n"/>
      <c r="B477" s="110" t="n"/>
      <c r="C477" s="110" t="n"/>
      <c r="D477" s="110" t="n"/>
      <c r="E477" s="110" t="n"/>
      <c r="F477" s="83" t="n"/>
    </row>
    <row r="478" ht="15" customHeight="1" s="82">
      <c r="A478" s="83" t="n"/>
      <c r="B478" s="151" t="n"/>
      <c r="C478" s="151" t="n"/>
      <c r="D478" s="151" t="n"/>
      <c r="E478" s="151" t="n"/>
      <c r="F478" s="83" t="n"/>
    </row>
    <row r="479" ht="15" customHeight="1" s="82">
      <c r="A479" s="83" t="n"/>
      <c r="B479" s="110" t="n"/>
      <c r="C479" s="110" t="n"/>
      <c r="D479" s="110" t="n"/>
      <c r="E479" s="110" t="n"/>
      <c r="F479" s="83" t="n"/>
    </row>
    <row r="480" ht="15" customHeight="1" s="82">
      <c r="A480" s="83" t="n"/>
      <c r="B480" s="151" t="n"/>
      <c r="C480" s="151" t="n"/>
      <c r="D480" s="151" t="n"/>
      <c r="E480" s="151" t="n"/>
      <c r="F480" s="83" t="n"/>
    </row>
    <row r="481" ht="15" customHeight="1" s="82">
      <c r="A481" s="83" t="n"/>
      <c r="B481" s="110" t="n"/>
      <c r="C481" s="110" t="n"/>
      <c r="D481" s="110" t="n"/>
      <c r="E481" s="110" t="n"/>
      <c r="F481" s="83" t="n"/>
    </row>
    <row r="482" ht="15" customHeight="1" s="82">
      <c r="A482" s="83" t="n"/>
      <c r="B482" s="151" t="n"/>
      <c r="C482" s="151" t="n"/>
      <c r="D482" s="151" t="n"/>
      <c r="E482" s="151" t="n"/>
      <c r="F482" s="83" t="n"/>
    </row>
    <row r="483" ht="15" customHeight="1" s="82">
      <c r="A483" s="83" t="n"/>
      <c r="B483" s="110" t="n"/>
      <c r="C483" s="110" t="n"/>
      <c r="D483" s="110" t="n"/>
      <c r="E483" s="110" t="n"/>
      <c r="F483" s="83" t="n"/>
    </row>
    <row r="484" ht="15" customHeight="1" s="82">
      <c r="A484" s="83" t="n"/>
      <c r="B484" s="151" t="n"/>
      <c r="C484" s="151" t="n"/>
      <c r="D484" s="151" t="n"/>
      <c r="E484" s="151" t="n"/>
      <c r="F484" s="83" t="n"/>
    </row>
    <row r="485" ht="15" customHeight="1" s="82">
      <c r="A485" s="83" t="n"/>
      <c r="B485" s="110" t="n"/>
      <c r="C485" s="110" t="n"/>
      <c r="D485" s="110" t="n"/>
      <c r="E485" s="110" t="n"/>
      <c r="F485" s="83" t="n"/>
    </row>
    <row r="486" ht="15" customHeight="1" s="82">
      <c r="A486" s="83" t="n"/>
      <c r="B486" s="151" t="n"/>
      <c r="C486" s="151" t="n"/>
      <c r="D486" s="151" t="n"/>
      <c r="E486" s="151" t="n"/>
      <c r="F486" s="83" t="n"/>
    </row>
    <row r="487" ht="15" customHeight="1" s="82">
      <c r="A487" s="83" t="n"/>
      <c r="B487" s="110" t="n"/>
      <c r="C487" s="110" t="n"/>
      <c r="D487" s="110" t="n"/>
      <c r="E487" s="110" t="n"/>
      <c r="F487" s="83" t="n"/>
    </row>
    <row r="488" ht="15" customHeight="1" s="82">
      <c r="A488" s="83" t="n"/>
      <c r="B488" s="151" t="n"/>
      <c r="C488" s="151" t="n"/>
      <c r="D488" s="151" t="n"/>
      <c r="E488" s="151" t="n"/>
      <c r="F488" s="83" t="n"/>
    </row>
    <row r="489" ht="15" customHeight="1" s="82">
      <c r="A489" s="83" t="n"/>
      <c r="B489" s="110" t="n"/>
      <c r="C489" s="110" t="n"/>
      <c r="D489" s="110" t="n"/>
      <c r="E489" s="110" t="n"/>
      <c r="F489" s="83" t="n"/>
    </row>
    <row r="490" ht="15" customHeight="1" s="82">
      <c r="A490" s="83" t="n"/>
      <c r="B490" s="151" t="n"/>
      <c r="C490" s="151" t="n"/>
      <c r="D490" s="151" t="n"/>
      <c r="E490" s="151" t="n"/>
      <c r="F490" s="83" t="n"/>
    </row>
    <row r="491" ht="15" customHeight="1" s="82">
      <c r="A491" s="83" t="n"/>
      <c r="B491" s="110" t="n"/>
      <c r="C491" s="110" t="n"/>
      <c r="D491" s="110" t="n"/>
      <c r="E491" s="110" t="n"/>
      <c r="F491" s="83" t="n"/>
    </row>
    <row r="492" ht="15" customHeight="1" s="82">
      <c r="A492" s="83" t="n"/>
      <c r="B492" s="151" t="n"/>
      <c r="C492" s="151" t="n"/>
      <c r="D492" s="151" t="n"/>
      <c r="E492" s="151" t="n"/>
      <c r="F492" s="83" t="n"/>
    </row>
    <row r="493" ht="15" customHeight="1" s="82">
      <c r="A493" s="83" t="n"/>
      <c r="B493" s="110" t="n"/>
      <c r="C493" s="110" t="n"/>
      <c r="D493" s="110" t="n"/>
      <c r="E493" s="110" t="n"/>
      <c r="F493" s="83" t="n"/>
    </row>
    <row r="494" ht="15" customHeight="1" s="82">
      <c r="A494" s="83" t="n"/>
      <c r="B494" s="151" t="n"/>
      <c r="C494" s="151" t="n"/>
      <c r="D494" s="151" t="n"/>
      <c r="E494" s="151" t="n"/>
      <c r="F494" s="83" t="n"/>
    </row>
    <row r="495" ht="15" customHeight="1" s="82">
      <c r="A495" s="83" t="n"/>
      <c r="B495" s="110" t="n"/>
      <c r="C495" s="110" t="n"/>
      <c r="D495" s="110" t="n"/>
      <c r="E495" s="110" t="n"/>
      <c r="F495" s="83" t="n"/>
    </row>
    <row r="496" ht="15" customHeight="1" s="82">
      <c r="A496" s="83" t="n"/>
      <c r="B496" s="151" t="n"/>
      <c r="C496" s="151" t="n"/>
      <c r="D496" s="151" t="n"/>
      <c r="E496" s="151" t="n"/>
      <c r="F496" s="83" t="n"/>
    </row>
    <row r="497" ht="15" customHeight="1" s="82">
      <c r="A497" s="83" t="n"/>
      <c r="B497" s="110" t="n"/>
      <c r="C497" s="110" t="n"/>
      <c r="D497" s="110" t="n"/>
      <c r="E497" s="110" t="n"/>
      <c r="F497" s="83" t="n"/>
    </row>
    <row r="498" ht="15" customHeight="1" s="82">
      <c r="A498" s="83" t="n"/>
      <c r="B498" s="151" t="n"/>
      <c r="C498" s="151" t="n"/>
      <c r="D498" s="151" t="n"/>
      <c r="E498" s="151" t="n"/>
      <c r="F498" s="83" t="n"/>
    </row>
    <row r="499" ht="15" customHeight="1" s="82">
      <c r="A499" s="83" t="n"/>
      <c r="B499" s="110" t="n"/>
      <c r="C499" s="110" t="n"/>
      <c r="D499" s="110" t="n"/>
      <c r="E499" s="110" t="n"/>
      <c r="F499" s="83" t="n"/>
    </row>
    <row r="500" ht="15" customHeight="1" s="82">
      <c r="A500" s="83" t="n"/>
      <c r="B500" s="83" t="n"/>
      <c r="C500" s="83" t="n"/>
      <c r="D500" s="83" t="n"/>
      <c r="E500" s="83" t="n"/>
      <c r="F500" s="83" t="n"/>
    </row>
  </sheetData>
  <mergeCells count="2">
    <mergeCell ref="A2:E2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32818"/>
    <outlinePr summaryBelow="1" summaryRight="1"/>
    <pageSetUpPr fitToPage="0"/>
  </sheetPr>
  <dimension ref="A1: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1" min="1" max="1"/>
    <col width="6" customWidth="1" style="81" min="2" max="2"/>
    <col width="26" customWidth="1" style="81" min="3" max="3"/>
    <col width="62" customWidth="1" style="81" min="4" max="4"/>
    <col width="2" customWidth="1" style="81" min="5" max="5"/>
  </cols>
  <sheetData>
    <row r="1" ht="6" customHeight="1" s="82">
      <c r="A1" s="83" t="n"/>
      <c r="B1" s="83" t="n"/>
      <c r="C1" s="83" t="n"/>
      <c r="D1" s="83" t="n"/>
      <c r="E1" s="83" t="n"/>
    </row>
    <row r="2" ht="33.75" customHeight="1" s="82">
      <c r="A2" s="152" t="inlineStr">
        <is>
          <t xml:space="preserve">  ⚙️ SETUP GUIDE  —  Get your tracker running in five minutes</t>
        </is>
      </c>
      <c r="E2" s="83" t="n"/>
    </row>
    <row r="3" ht="19.5" customHeight="1" s="82">
      <c r="A3" s="153" t="inlineStr">
        <is>
          <t xml:space="preserve">  Complete every step below once. After that, everything runs automatically.</t>
        </is>
      </c>
      <c r="E3" s="83" t="n"/>
    </row>
    <row r="4" ht="9.75" customHeight="1" s="82">
      <c r="A4" s="83" t="n"/>
      <c r="B4" s="83" t="n"/>
      <c r="C4" s="83" t="n"/>
      <c r="D4" s="83" t="n"/>
      <c r="E4" s="83" t="n"/>
    </row>
    <row r="5" ht="33.75" customHeight="1" s="82">
      <c r="A5" s="83" t="n"/>
      <c r="B5" s="154" t="inlineStr">
        <is>
          <t>1</t>
        </is>
      </c>
      <c r="C5" s="155" t="inlineStr">
        <is>
          <t>Make a copy</t>
        </is>
      </c>
      <c r="D5" s="156" t="inlineStr">
        <is>
          <t>File → Make a copy, and save it to your own Google Drive.</t>
        </is>
      </c>
      <c r="E5" s="83" t="n"/>
    </row>
    <row r="6" ht="33.75" customHeight="1" s="82">
      <c r="A6" s="83" t="n"/>
      <c r="B6" s="154" t="inlineStr">
        <is>
          <t>2</t>
        </is>
      </c>
      <c r="C6" s="155" t="inlineStr">
        <is>
          <t>Open Apps Script</t>
        </is>
      </c>
      <c r="D6" s="156" t="inlineStr">
        <is>
          <t>Extensions → Apps Script. A new code editor tab will open.</t>
        </is>
      </c>
      <c r="E6" s="83" t="n"/>
    </row>
    <row r="7" ht="33.75" customHeight="1" s="82">
      <c r="A7" s="83" t="n"/>
      <c r="B7" s="154" t="inlineStr">
        <is>
          <t>3</t>
        </is>
      </c>
      <c r="C7" s="155" t="inlineStr">
        <is>
          <t>Delete the default code</t>
        </is>
      </c>
      <c r="D7" s="156" t="inlineStr">
        <is>
          <t>Select everything in the editor (Ctrl+A) and delete it.</t>
        </is>
      </c>
      <c r="E7" s="83" t="n"/>
    </row>
    <row r="8" ht="33.75" customHeight="1" s="82">
      <c r="A8" s="83" t="n"/>
      <c r="B8" s="154" t="inlineStr">
        <is>
          <t>4</t>
        </is>
      </c>
      <c r="C8" s="155" t="inlineStr">
        <is>
          <t>Paste Code.gs</t>
        </is>
      </c>
      <c r="D8" s="156" t="inlineStr">
        <is>
          <t>Copy the full script from the Apps Script Backup sheet and paste it in.</t>
        </is>
      </c>
      <c r="E8" s="83" t="n"/>
    </row>
    <row r="9" ht="33.75" customHeight="1" s="82">
      <c r="A9" s="83" t="n"/>
      <c r="B9" s="154" t="inlineStr">
        <is>
          <t>5</t>
        </is>
      </c>
      <c r="C9" s="155" t="inlineStr">
        <is>
          <t>Save</t>
        </is>
      </c>
      <c r="D9" s="156" t="inlineStr">
        <is>
          <t>Press Ctrl+S, or click the save icon in the Apps Script editor.</t>
        </is>
      </c>
      <c r="E9" s="83" t="n"/>
    </row>
    <row r="10" ht="33.75" customHeight="1" s="82">
      <c r="A10" s="83" t="n"/>
      <c r="B10" s="154" t="inlineStr">
        <is>
          <t>6</t>
        </is>
      </c>
      <c r="C10" s="155" t="inlineStr">
        <is>
          <t>Authorize permissions</t>
        </is>
      </c>
      <c r="D10" s="156" t="inlineStr">
        <is>
          <t>Run setupDailyTrigger() once. Google will ask you to authorize Calendar and Gmail access — accept it.</t>
        </is>
      </c>
      <c r="E10" s="83" t="n"/>
    </row>
    <row r="11" ht="33.75" customHeight="1" s="82">
      <c r="A11" s="83" t="n"/>
      <c r="B11" s="154" t="inlineStr">
        <is>
          <t>7</t>
        </is>
      </c>
      <c r="C11" s="155" t="inlineStr">
        <is>
          <t>Start using the tracker</t>
        </is>
      </c>
      <c r="D11" s="156" t="inlineStr">
        <is>
          <t>Add policies in the Policy Register sheet. Calendar events, dashboards and email reminders update automatically.</t>
        </is>
      </c>
      <c r="E11" s="83" t="n"/>
    </row>
    <row r="12" ht="15" customHeight="1" s="82">
      <c r="A12" s="83" t="n"/>
      <c r="B12" s="83" t="n"/>
      <c r="C12" s="83" t="n"/>
      <c r="D12" s="83" t="n"/>
      <c r="E12" s="83" t="n"/>
    </row>
    <row r="13" ht="15" customHeight="1" s="82">
      <c r="A13" s="157" t="inlineStr">
        <is>
          <t xml:space="preserve">  🏷️ HOW URGENCY COLOURS WORK</t>
        </is>
      </c>
      <c r="E13" s="83" t="n"/>
    </row>
    <row r="14" ht="19.5" customHeight="1" s="82">
      <c r="A14" s="83" t="n"/>
      <c r="B14" s="83" t="n"/>
      <c r="C14" s="158" t="inlineStr">
        <is>
          <t>Renewed</t>
        </is>
      </c>
      <c r="D14" s="159" t="inlineStr">
        <is>
          <t>Soft gold background, dark gold text — policy is complete.</t>
        </is>
      </c>
      <c r="E14" s="83" t="n"/>
    </row>
    <row r="15" ht="19.5" customHeight="1" s="82">
      <c r="A15" s="83" t="n"/>
      <c r="B15" s="83" t="n"/>
      <c r="C15" s="158" t="inlineStr">
        <is>
          <t>Not Renewed</t>
        </is>
      </c>
      <c r="D15" s="159" t="inlineStr">
        <is>
          <t>Soft burgundy background — still needs action.</t>
        </is>
      </c>
      <c r="E15" s="83" t="n"/>
    </row>
    <row r="16" ht="19.5" customHeight="1" s="82">
      <c r="A16" s="83" t="n"/>
      <c r="B16" s="83" t="n"/>
      <c r="C16" s="158" t="inlineStr">
        <is>
          <t>Due within 30 days</t>
        </is>
      </c>
      <c r="D16" s="159" t="inlineStr">
        <is>
          <t>Soft gold highlight on the due date.</t>
        </is>
      </c>
      <c r="E16" s="83" t="n"/>
    </row>
    <row r="17" ht="19.5" customHeight="1" s="82">
      <c r="A17" s="83" t="n"/>
      <c r="B17" s="83" t="n"/>
      <c r="C17" s="158" t="inlineStr">
        <is>
          <t>Due within 14 days</t>
        </is>
      </c>
      <c r="D17" s="159" t="inlineStr">
        <is>
          <t>Soft burnt-orange highlight.</t>
        </is>
      </c>
      <c r="E17" s="83" t="n"/>
    </row>
    <row r="18" ht="19.5" customHeight="1" s="82">
      <c r="A18" s="83" t="n"/>
      <c r="B18" s="83" t="n"/>
      <c r="C18" s="158" t="inlineStr">
        <is>
          <t>Due within 7 days</t>
        </is>
      </c>
      <c r="D18" s="159" t="inlineStr">
        <is>
          <t>Deeper burnt-orange highlight.</t>
        </is>
      </c>
      <c r="E18" s="83" t="n"/>
    </row>
    <row r="19" ht="19.5" customHeight="1" s="82">
      <c r="A19" s="83" t="n"/>
      <c r="B19" s="83" t="n"/>
      <c r="C19" s="158" t="inlineStr">
        <is>
          <t>Due today</t>
        </is>
      </c>
      <c r="D19" s="159" t="inlineStr">
        <is>
          <t>Dark chocolate background, white bold text.</t>
        </is>
      </c>
      <c r="E19" s="83" t="n"/>
    </row>
    <row r="20" ht="19.5" customHeight="1" s="82">
      <c r="A20" s="83" t="n"/>
      <c r="B20" s="83" t="n"/>
      <c r="C20" s="158" t="inlineStr">
        <is>
          <t>Overdue</t>
        </is>
      </c>
      <c r="D20" s="159" t="inlineStr">
        <is>
          <t>Deep burgundy background, white bold text.</t>
        </is>
      </c>
      <c r="E20" s="83" t="n"/>
    </row>
    <row r="21" ht="15" customHeight="1" s="82">
      <c r="A21" s="83" t="n"/>
      <c r="B21" s="83" t="n"/>
      <c r="C21" s="83" t="n"/>
      <c r="D21" s="83" t="n"/>
      <c r="E21" s="83" t="n"/>
    </row>
    <row r="22" ht="15" customHeight="1" s="82">
      <c r="A22" s="157" t="inlineStr">
        <is>
          <t xml:space="preserve">  ⏰ TRIGGER SCHEDULE</t>
        </is>
      </c>
      <c r="B22" s="83" t="n"/>
      <c r="C22" s="83" t="n"/>
      <c r="D22" s="83" t="n"/>
      <c r="E22" s="83" t="n"/>
    </row>
    <row r="23" ht="15" customHeight="1" s="82">
      <c r="A23" s="83" t="n"/>
      <c r="B23" s="83" t="n"/>
      <c r="C23" s="158" t="inlineStr">
        <is>
          <t>Calendar Sync</t>
        </is>
      </c>
      <c r="D23" s="159" t="inlineStr">
        <is>
          <t>Daily, 8:00am by default — plus instantly as you edit a policy. Keeps every renewal date on your Google Calendar.</t>
        </is>
      </c>
      <c r="E23" s="83" t="n"/>
    </row>
    <row r="24" ht="15" customHeight="1" s="82">
      <c r="A24" s="83" t="n"/>
      <c r="B24" s="83" t="n"/>
      <c r="C24" s="158" t="inlineStr">
        <is>
          <t>Daily Digest</t>
        </is>
      </c>
      <c r="D24" s="159" t="inlineStr">
        <is>
          <t>Daily, 8:00am by default — one short glance: due today, overdue count, next 5 coming up. To your team inbox.</t>
        </is>
      </c>
      <c r="E24" s="83" t="n"/>
    </row>
    <row r="25" ht="15" customHeight="1" s="82">
      <c r="A25" s="83" t="n"/>
      <c r="B25" s="83" t="n"/>
      <c r="C25" s="158" t="inlineStr">
        <is>
          <t>Weekly Summary</t>
        </is>
      </c>
      <c r="D25" s="159" t="inlineStr">
        <is>
          <t>Monday, 8:00am by default — fuller list: everything due in the next 30 days + full overdue list. To your team inbox.</t>
        </is>
      </c>
      <c r="E25" s="83" t="n"/>
    </row>
    <row r="26" ht="15" customHeight="1" s="82">
      <c r="A26" s="83" t="n"/>
      <c r="B26" s="83" t="n"/>
      <c r="C26" s="158" t="inlineStr">
        <is>
          <t>Milestone Alert</t>
        </is>
      </c>
      <c r="D26" s="159" t="inlineStr">
        <is>
          <t>Checked daily, 8:00am by default — client-facing renewal nudge. Fires once per policy at 60/30/14/7/3/1/0 days out, never repeated.</t>
        </is>
      </c>
      <c r="E26" s="83" t="n"/>
    </row>
    <row r="27" ht="15" customHeight="1" s="82">
      <c r="A27" s="83" t="n"/>
      <c r="B27" s="83" t="n"/>
      <c r="C27" s="83" t="n"/>
      <c r="D27" s="83" t="n"/>
      <c r="E27" s="83" t="n"/>
    </row>
    <row r="28" ht="15" customHeight="1" s="82">
      <c r="A28" s="83" t="n"/>
      <c r="B28" s="83" t="n"/>
      <c r="C28" s="158" t="inlineStr">
        <is>
          <t>Adjusting the times</t>
        </is>
      </c>
      <c r="D28" s="159" t="inlineStr">
        <is>
          <t>All four run at 8am out of the box. To change any of them (e.g. for testing), edit the TRIGGER_TIMES constant near the top of the script, then re-run setupDailyTrigger().</t>
        </is>
      </c>
      <c r="E28" s="83" t="n"/>
    </row>
    <row r="29" ht="15" customHeight="1" s="82">
      <c r="A29" s="83" t="n"/>
      <c r="B29" s="83" t="n"/>
      <c r="C29" s="158" t="inlineStr">
        <is>
          <t>Testing without waiting</t>
        </is>
      </c>
      <c r="D29" s="159" t="inlineStr">
        <is>
          <t>Run testDailyDigest(), testWeeklySummary(), or testMilestoneCheck() directly from the Apps Script editor (▶) to preview an email immediately.</t>
        </is>
      </c>
      <c r="E29" s="83" t="n"/>
    </row>
    <row r="30" ht="15" customHeight="1" s="82">
      <c r="A30" s="83" t="n"/>
      <c r="B30" s="83" t="n"/>
      <c r="C30" s="158" t="inlineStr">
        <is>
          <t>Team inbox</t>
        </is>
      </c>
      <c r="D30" s="159" t="inlineStr">
        <is>
          <t>Before running setupDailyTrigger(), set the TEAM_INBOX constant near the top of the script to your shared inbox — or leave it blank to use your own Google account.</t>
        </is>
      </c>
      <c r="E30" s="83" t="n"/>
    </row>
    <row r="31" ht="15" customHeight="1" s="82">
      <c r="A31" s="83" t="n"/>
      <c r="B31" s="83" t="n"/>
      <c r="C31" s="158" t="inlineStr">
        <is>
          <t>Dates going back a day?</t>
        </is>
      </c>
      <c r="D31" s="159" t="inlineStr">
        <is>
          <t>The date-shifting bug is fixed in v5.1, but only once this exact code is pasted into Extensions → Apps Script (having it in this backup tab is not enough). After pasting: run normalizeAllDueDates() once from the ▶ menu to force-fix every row already on the sheet and confirm it worked.</t>
        </is>
      </c>
      <c r="E31" s="83" t="n"/>
    </row>
    <row r="32" ht="15" customHeight="1" s="82">
      <c r="A32" s="83" t="n"/>
      <c r="B32" s="83" t="n"/>
      <c r="C32" s="83" t="n"/>
      <c r="D32" s="83" t="n"/>
      <c r="E32" s="83" t="n"/>
    </row>
    <row r="33" ht="15" customHeight="1" s="82">
      <c r="A33" s="83" t="n"/>
      <c r="B33" s="83" t="n"/>
      <c r="C33" s="83" t="n"/>
      <c r="D33" s="83" t="n"/>
      <c r="E33" s="83" t="n"/>
    </row>
    <row r="34" ht="15" customHeight="1" s="82">
      <c r="A34" s="83" t="n"/>
      <c r="B34" s="83" t="n"/>
      <c r="C34" s="83" t="n"/>
      <c r="D34" s="83" t="n"/>
      <c r="E34" s="83" t="n"/>
    </row>
    <row r="35" ht="15" customHeight="1" s="82">
      <c r="A35" s="83" t="n"/>
      <c r="B35" s="83" t="n"/>
      <c r="C35" s="83" t="n"/>
      <c r="D35" s="83" t="n"/>
      <c r="E35" s="83" t="n"/>
    </row>
    <row r="36" ht="15" customHeight="1" s="82">
      <c r="A36" s="83" t="n"/>
      <c r="B36" s="83" t="n"/>
      <c r="C36" s="83" t="n"/>
      <c r="D36" s="83" t="n"/>
      <c r="E36" s="83" t="n"/>
    </row>
    <row r="37" ht="15" customHeight="1" s="82">
      <c r="A37" s="83" t="n"/>
      <c r="B37" s="83" t="n"/>
      <c r="C37" s="83" t="n"/>
      <c r="D37" s="83" t="n"/>
      <c r="E37" s="83" t="n"/>
    </row>
    <row r="38" ht="15" customHeight="1" s="82">
      <c r="A38" s="83" t="n"/>
      <c r="B38" s="83" t="n"/>
      <c r="C38" s="83" t="n"/>
      <c r="D38" s="83" t="n"/>
      <c r="E38" s="83" t="n"/>
    </row>
    <row r="39" ht="15" customHeight="1" s="82">
      <c r="A39" s="83" t="n"/>
      <c r="B39" s="83" t="n"/>
      <c r="C39" s="83" t="n"/>
      <c r="D39" s="83" t="n"/>
      <c r="E39" s="83" t="n"/>
    </row>
    <row r="40" ht="15" customHeight="1" s="82">
      <c r="A40" s="83" t="n"/>
      <c r="B40" s="83" t="n"/>
      <c r="C40" s="83" t="n"/>
      <c r="D40" s="83" t="n"/>
      <c r="E40" s="83" t="n"/>
    </row>
  </sheetData>
  <mergeCells count="3">
    <mergeCell ref="A3:D3"/>
    <mergeCell ref="A13:D13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9A9A9A"/>
    <outlinePr summaryBelow="1" summaryRight="1"/>
    <pageSetUpPr fitToPage="0"/>
  </sheetPr>
  <dimension ref="A1:C5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1" min="1" max="1"/>
    <col width="110" customWidth="1" style="81" min="2" max="2"/>
    <col width="2" customWidth="1" style="81" min="3" max="3"/>
  </cols>
  <sheetData>
    <row r="1" ht="6" customHeight="1" s="82">
      <c r="A1" s="83" t="n"/>
      <c r="B1" s="83" t="n"/>
      <c r="C1" s="83" t="n"/>
    </row>
    <row r="2" ht="33.75" customHeight="1" s="82">
      <c r="A2" s="160" t="inlineStr">
        <is>
          <t xml:space="preserve">  💻 APPS SCRIPT v5.1  —  Copy everything below into Extensions → Apps Script</t>
        </is>
      </c>
      <c r="C2" s="83" t="n"/>
    </row>
    <row r="3" ht="19.5" customHeight="1" s="82">
      <c r="A3" s="153" t="inlineStr">
        <is>
          <t xml:space="preserve">  Select all text from B6 onward, copy, paste into the Apps Script editor, save, then run setupDailyTrigger()</t>
        </is>
      </c>
      <c r="C3" s="83" t="n"/>
    </row>
    <row r="4" ht="15" customHeight="1" s="82">
      <c r="A4" s="83" t="n"/>
      <c r="B4" s="83" t="n"/>
      <c r="C4" s="83" t="n"/>
    </row>
    <row r="5" ht="15" customHeight="1" s="82">
      <c r="A5" s="83" t="n"/>
      <c r="B5" s="83" t="n"/>
      <c r="C5" s="83" t="n"/>
    </row>
    <row r="6" ht="12.75" customHeight="1" s="82">
      <c r="A6" s="83" t="n"/>
      <c r="B6" s="161" t="inlineStr">
        <is>
          <t>// ══════════════════════════════════════════════════════════════════</t>
        </is>
      </c>
      <c r="C6" s="83" t="n"/>
    </row>
    <row r="7" ht="12.75" customHeight="1" s="82">
      <c r="A7" s="83" t="n"/>
      <c r="B7" s="162" t="inlineStr">
        <is>
          <t>//  INSURANCE POLICY RENEWAL TRACKER PRO — Apps Script v4.0</t>
        </is>
      </c>
      <c r="C7" s="83" t="n"/>
    </row>
    <row r="8" ht="12.75" customHeight="1" s="82">
      <c r="A8" s="83" t="n"/>
      <c r="B8" s="161" t="inlineStr">
        <is>
          <t>//  Your Brokerage Name</t>
        </is>
      </c>
      <c r="C8" s="83" t="n"/>
    </row>
    <row r="9" ht="12.75" customHeight="1" s="82">
      <c r="A9" s="83" t="n"/>
      <c r="B9" s="162" t="inlineStr">
        <is>
          <t>//  Paste into Extensions → Apps Script → Save → Run setupDailyTrigger()</t>
        </is>
      </c>
      <c r="C9" s="83" t="n"/>
    </row>
    <row r="10" ht="12.75" customHeight="1" s="82">
      <c r="A10" s="83" t="n"/>
      <c r="B10" s="161" t="inlineStr">
        <is>
          <t>// ══════════════════════════════════════════════════════════════════</t>
        </is>
      </c>
      <c r="C10" s="83" t="n"/>
    </row>
    <row r="11" ht="12.75" customHeight="1" s="82">
      <c r="A11" s="83" t="n"/>
      <c r="B11" s="162" t="n"/>
      <c r="C11" s="83" t="n"/>
    </row>
    <row r="12" ht="12.75" customHeight="1" s="82">
      <c r="A12" s="83" t="n"/>
      <c r="B12" s="161" t="inlineStr">
        <is>
          <t>const SHEET_NAME   = 'Policy Register';</t>
        </is>
      </c>
      <c r="C12" s="83" t="n"/>
    </row>
    <row r="13" ht="12.75" customHeight="1" s="82">
      <c r="A13" s="83" t="n"/>
      <c r="B13" s="162" t="inlineStr">
        <is>
          <t>const LOG_SHEET     = 'Activity Log';</t>
        </is>
      </c>
      <c r="C13" s="83" t="n"/>
    </row>
    <row r="14" ht="12.75" customHeight="1" s="82">
      <c r="A14" s="83" t="n"/>
      <c r="B14" s="161" t="inlineStr">
        <is>
          <t>const CAL_NAME      = 'Insurance Renewal Tracker';</t>
        </is>
      </c>
      <c r="C14" s="83" t="n"/>
    </row>
    <row r="15" ht="12.75" customHeight="1" s="82">
      <c r="A15" s="83" t="n"/>
      <c r="B15" s="162" t="inlineStr">
        <is>
          <t>const FIRST_ROW      = 5;</t>
        </is>
      </c>
      <c r="C15" s="83" t="n"/>
    </row>
    <row r="16" ht="12.75" customHeight="1" s="82">
      <c r="A16" s="83" t="n"/>
      <c r="B16" s="161" t="inlineStr">
        <is>
          <t>const LAST_ROW       = 304;</t>
        </is>
      </c>
      <c r="C16" s="83" t="n"/>
    </row>
    <row r="17" ht="12.75" customHeight="1" s="82">
      <c r="A17" s="83" t="n"/>
      <c r="B17" s="162" t="n"/>
      <c r="C17" s="83" t="n"/>
    </row>
    <row r="18" ht="12.75" customHeight="1" s="82">
      <c r="A18" s="83" t="n"/>
      <c r="B18" s="161" t="inlineStr">
        <is>
          <t>// Where the Daily Digest and Weekly Summary land. Leave blank to use</t>
        </is>
      </c>
      <c r="C18" s="83" t="n"/>
    </row>
    <row r="19" ht="12.75" customHeight="1" s="82">
      <c r="A19" s="83" t="n"/>
      <c r="B19" s="162" t="inlineStr">
        <is>
          <t>// whichever Google account runs the script.</t>
        </is>
      </c>
      <c r="C19" s="83" t="n"/>
    </row>
    <row r="20" ht="12.75" customHeight="1" s="82">
      <c r="A20" s="83" t="n"/>
      <c r="B20" s="161" t="inlineStr">
        <is>
          <t>const TEAM_INBOX = '';</t>
        </is>
      </c>
      <c r="C20" s="83" t="n"/>
    </row>
    <row r="21" ht="12.75" customHeight="1" s="82">
      <c r="A21" s="83" t="n"/>
      <c r="B21" s="162" t="n"/>
      <c r="C21" s="83" t="n"/>
    </row>
    <row r="22" ht="12.75" customHeight="1" s="82">
      <c r="A22" s="83" t="n"/>
      <c r="B22" s="161" t="inlineStr">
        <is>
          <t>// ── TRIGGER TIMES — everything defaults to 8am. Change any of these</t>
        </is>
      </c>
      <c r="C22" s="83" t="n"/>
    </row>
    <row r="23" ht="12.75" customHeight="1" s="82">
      <c r="A23" s="83" t="n"/>
      <c r="B23" s="162" t="inlineStr">
        <is>
          <t>//    (e.g. to a near-future hour while testing) then re-run</t>
        </is>
      </c>
      <c r="C23" s="83" t="n"/>
    </row>
    <row r="24" ht="12.75" customHeight="1" s="82">
      <c r="A24" s="83" t="n"/>
      <c r="B24" s="161" t="inlineStr">
        <is>
          <t>//    setupDailyTrigger() to apply. WEEKLY_SUMMARY also runs Mondays.</t>
        </is>
      </c>
      <c r="C24" s="83" t="n"/>
    </row>
    <row r="25" ht="12.75" customHeight="1" s="82">
      <c r="A25" s="83" t="n"/>
      <c r="B25" s="162" t="inlineStr">
        <is>
          <t>const TRIGGER_TIMES = {</t>
        </is>
      </c>
      <c r="C25" s="83" t="n"/>
    </row>
    <row r="26" ht="12.75" customHeight="1" s="82">
      <c r="A26" s="83" t="n"/>
      <c r="B26" s="161" t="inlineStr">
        <is>
          <t xml:space="preserve">  CALENDAR_SYNC_HOUR:   8,</t>
        </is>
      </c>
      <c r="C26" s="83" t="n"/>
    </row>
    <row r="27" ht="12.75" customHeight="1" s="82">
      <c r="A27" s="83" t="n"/>
      <c r="B27" s="162" t="inlineStr">
        <is>
          <t xml:space="preserve">  DAILY_DIGEST_HOUR:    8,</t>
        </is>
      </c>
      <c r="C27" s="83" t="n"/>
    </row>
    <row r="28" ht="12.75" customHeight="1" s="82">
      <c r="A28" s="83" t="n"/>
      <c r="B28" s="161" t="inlineStr">
        <is>
          <t xml:space="preserve">  WEEKLY_SUMMARY_HOUR:  8,</t>
        </is>
      </c>
      <c r="C28" s="83" t="n"/>
    </row>
    <row r="29" ht="12.75" customHeight="1" s="82">
      <c r="A29" s="83" t="n"/>
      <c r="B29" s="162" t="inlineStr">
        <is>
          <t xml:space="preserve">  WEEKLY_SUMMARY_MINUTE: 0,</t>
        </is>
      </c>
      <c r="C29" s="83" t="n"/>
    </row>
    <row r="30" ht="12.75" customHeight="1" s="82">
      <c r="A30" s="83" t="n"/>
      <c r="B30" s="161" t="inlineStr">
        <is>
          <t xml:space="preserve">  MILESTONE_CHECK_HOUR: 8</t>
        </is>
      </c>
      <c r="C30" s="83" t="n"/>
    </row>
    <row r="31" ht="12.75" customHeight="1" s="82">
      <c r="A31" s="83" t="n"/>
      <c r="B31" s="162" t="inlineStr">
        <is>
          <t>};</t>
        </is>
      </c>
      <c r="C31" s="83" t="n"/>
    </row>
    <row r="32" ht="12.75" customHeight="1" s="82">
      <c r="A32" s="83" t="n"/>
      <c r="B32" s="161" t="n"/>
      <c r="C32" s="83" t="n"/>
    </row>
    <row r="33" ht="12.75" customHeight="1" s="82">
      <c r="A33" s="83" t="n"/>
      <c r="B33" s="162" t="inlineStr">
        <is>
          <t>// Column map (Policy Register)</t>
        </is>
      </c>
      <c r="C33" s="83" t="n"/>
    </row>
    <row r="34" ht="12.75" customHeight="1" s="82">
      <c r="A34" s="83" t="n"/>
      <c r="B34" s="161" t="inlineStr">
        <is>
          <t>const COL_ID         = 2;   // B</t>
        </is>
      </c>
      <c r="C34" s="83" t="n"/>
    </row>
    <row r="35" ht="12.75" customHeight="1" s="82">
      <c r="A35" s="83" t="n"/>
      <c r="B35" s="162" t="inlineStr">
        <is>
          <t>const COL_CLIENT     = 3;   // C</t>
        </is>
      </c>
      <c r="C35" s="83" t="n"/>
    </row>
    <row r="36" ht="12.75" customHeight="1" s="82">
      <c r="A36" s="83" t="n"/>
      <c r="B36" s="161" t="inlineStr">
        <is>
          <t>const COL_CLASS      = 4;   // D</t>
        </is>
      </c>
      <c r="C36" s="83" t="n"/>
    </row>
    <row r="37" ht="12.75" customHeight="1" s="82">
      <c r="A37" s="83" t="n"/>
      <c r="B37" s="162" t="inlineStr">
        <is>
          <t>const COL_DESC       = 5;   // E</t>
        </is>
      </c>
      <c r="C37" s="83" t="n"/>
    </row>
    <row r="38" ht="12.75" customHeight="1" s="82">
      <c r="A38" s="83" t="n"/>
      <c r="B38" s="161" t="inlineStr">
        <is>
          <t>const COL_DUE        = 6;   // F</t>
        </is>
      </c>
      <c r="C38" s="83" t="n"/>
    </row>
    <row r="39" ht="12.75" customHeight="1" s="82">
      <c r="A39" s="83" t="n"/>
      <c r="B39" s="162" t="inlineStr">
        <is>
          <t>const COL_STATUS     = 7;   // G</t>
        </is>
      </c>
      <c r="C39" s="83" t="n"/>
    </row>
    <row r="40" ht="12.75" customHeight="1" s="82">
      <c r="A40" s="83" t="n"/>
      <c r="B40" s="161" t="inlineStr">
        <is>
          <t>const COL_OVERDUE    = 8;   // H</t>
        </is>
      </c>
      <c r="C40" s="83" t="n"/>
    </row>
    <row r="41" ht="12.75" customHeight="1" s="82">
      <c r="A41" s="83" t="n"/>
      <c r="B41" s="162" t="inlineStr">
        <is>
          <t>const COL_NOTES      = 9;   // I</t>
        </is>
      </c>
      <c r="C41" s="83" t="n"/>
    </row>
    <row r="42" ht="12.75" customHeight="1" s="82">
      <c r="A42" s="83" t="n"/>
      <c r="B42" s="161" t="inlineStr">
        <is>
          <t>const COL_EMAIL      = 10;  // J</t>
        </is>
      </c>
      <c r="C42" s="83" t="n"/>
    </row>
    <row r="43" ht="12.75" customHeight="1" s="82">
      <c r="A43" s="83" t="n"/>
      <c r="B43" s="162" t="inlineStr">
        <is>
          <t>const COL_MILESTONE  = 16;  // P — hidden "Last Milestone Sent" tracker</t>
        </is>
      </c>
      <c r="C43" s="83" t="n"/>
    </row>
    <row r="44" ht="12.75" customHeight="1" s="82">
      <c r="A44" s="83" t="n"/>
      <c r="B44" s="161" t="n"/>
      <c r="C44" s="83" t="n"/>
    </row>
    <row r="45" ht="12.75" customHeight="1" s="82">
      <c r="A45" s="83" t="n"/>
      <c r="B45" s="162" t="inlineStr">
        <is>
          <t>// Client-facing renewal nudges fire once, on the day a policy crosses</t>
        </is>
      </c>
      <c r="C45" s="83" t="n"/>
    </row>
    <row r="46" ht="12.75" customHeight="1" s="82">
      <c r="A46" s="83" t="n"/>
      <c r="B46" s="161" t="inlineStr">
        <is>
          <t>// each of these thresholds (days remaining). 0 = due today.</t>
        </is>
      </c>
      <c r="C46" s="83" t="n"/>
    </row>
    <row r="47" ht="12.75" customHeight="1" s="82">
      <c r="A47" s="83" t="n"/>
      <c r="B47" s="162" t="inlineStr">
        <is>
          <t>const MILESTONES = [60, 30, 14, 7, 3, 1, 0];</t>
        </is>
      </c>
      <c r="C47" s="83" t="n"/>
    </row>
    <row r="48" ht="12.75" customHeight="1" s="82">
      <c r="A48" s="83" t="n"/>
      <c r="B48" s="161" t="n"/>
      <c r="C48" s="83" t="n"/>
    </row>
    <row r="49" ht="12.75" customHeight="1" s="82">
      <c r="A49" s="83" t="n"/>
      <c r="B49" s="162" t="inlineStr">
        <is>
          <t>// Brand colours</t>
        </is>
      </c>
      <c r="C49" s="83" t="n"/>
    </row>
    <row r="50" ht="12.75" customHeight="1" s="82">
      <c r="A50" s="83" t="n"/>
      <c r="B50" s="161" t="inlineStr">
        <is>
          <t>const BRAND = {</t>
        </is>
      </c>
      <c r="C50" s="83" t="n"/>
    </row>
    <row r="51" ht="12.75" customHeight="1" s="82">
      <c r="A51" s="83" t="n"/>
      <c r="B51" s="162" t="inlineStr">
        <is>
          <t xml:space="preserve">  burgundy: '#6F1D1B', gold: '#BB9457', chocolate: '#432818',</t>
        </is>
      </c>
      <c r="C51" s="83" t="n"/>
    </row>
    <row r="52" ht="12.75" customHeight="1" s="82">
      <c r="A52" s="83" t="n"/>
      <c r="B52" s="161" t="inlineStr">
        <is>
          <t xml:space="preserve">  orange: '#99582A', cream: '#FFE6A7', paper: '#FBF3E4', line: '#EFE3D0',</t>
        </is>
      </c>
      <c r="C52" s="83" t="n"/>
    </row>
    <row r="53" ht="12.75" customHeight="1" s="82">
      <c r="A53" s="83" t="n"/>
      <c r="B53" s="162" t="inlineStr">
        <is>
          <t xml:space="preserve">  muted: '#8A7A6D'</t>
        </is>
      </c>
      <c r="C53" s="83" t="n"/>
    </row>
    <row r="54" ht="12.75" customHeight="1" s="82">
      <c r="A54" s="83" t="n"/>
      <c r="B54" s="161" t="inlineStr">
        <is>
          <t>};</t>
        </is>
      </c>
      <c r="C54" s="83" t="n"/>
    </row>
    <row r="55" ht="12.75" customHeight="1" s="82">
      <c r="A55" s="83" t="n"/>
      <c r="B55" s="162" t="n"/>
      <c r="C55" s="83" t="n"/>
    </row>
    <row r="56" ht="12.75" customHeight="1" s="82">
      <c r="A56" s="83" t="n"/>
      <c r="B56" s="161" t="inlineStr">
        <is>
          <t>// ── SETUP: run this once (and again any time you change TRIGGER_TIMES) ─</t>
        </is>
      </c>
      <c r="C56" s="83" t="n"/>
    </row>
    <row r="57" ht="12.75" customHeight="1" s="82">
      <c r="A57" s="83" t="n"/>
      <c r="B57" s="162" t="inlineStr">
        <is>
          <t>function setupDailyTrigger() {</t>
        </is>
      </c>
      <c r="C57" s="83" t="n"/>
    </row>
    <row r="58" ht="12.75" customHeight="1" s="82">
      <c r="A58" s="83" t="n"/>
      <c r="B58" s="161" t="inlineStr">
        <is>
          <t xml:space="preserve">  ScriptApp.getProjectTriggers().forEach(t =&gt; ScriptApp.deleteTrigger(t));</t>
        </is>
      </c>
      <c r="C58" s="83" t="n"/>
    </row>
    <row r="59" ht="12.75" customHeight="1" s="82">
      <c r="A59" s="83" t="n"/>
      <c r="B59" s="162" t="n"/>
      <c r="C59" s="83" t="n"/>
    </row>
    <row r="60" ht="12.75" customHeight="1" s="82">
      <c r="A60" s="83" t="n"/>
      <c r="B60" s="161" t="inlineStr">
        <is>
          <t xml:space="preserve">  ScriptApp.newTrigger('onEditHandler').forSpreadsheet(SpreadsheetApp.getActive()).onEdit().create();</t>
        </is>
      </c>
      <c r="C60" s="83" t="n"/>
    </row>
    <row r="61" ht="12.75" customHeight="1" s="82">
      <c r="A61" s="83" t="n"/>
      <c r="B61" s="162" t="inlineStr">
        <is>
          <t xml:space="preserve">  ScriptApp.newTrigger('syncAllPoliciesToCalendar').timeBased().atHour(TRIGGER_TIMES.CALENDAR_SYNC_HOUR).everyDays(1).create();</t>
        </is>
      </c>
      <c r="C61" s="83" t="n"/>
    </row>
    <row r="62" ht="12.75" customHeight="1" s="82">
      <c r="A62" s="83" t="n"/>
      <c r="B62" s="161" t="inlineStr">
        <is>
          <t xml:space="preserve">  ScriptApp.newTrigger('sendDailyDigest').timeBased().atHour(TRIGGER_TIMES.DAILY_DIGEST_HOUR).everyDays(1).create();</t>
        </is>
      </c>
      <c r="C62" s="83" t="n"/>
    </row>
    <row r="63" ht="12.75" customHeight="1" s="82">
      <c r="A63" s="83" t="n"/>
      <c r="B63" s="162" t="inlineStr">
        <is>
          <t xml:space="preserve">  ScriptApp.newTrigger('sendWeeklySummary').timeBased().onWeekDay(ScriptApp.WeekDay.MONDAY).atHour(TRIGGER_TIMES.WEEKLY_SUMMARY_HOUR).nearMinute(TRIGGER_TIMES.WEEKLY_SUMMARY_MINUTE).create();</t>
        </is>
      </c>
      <c r="C63" s="83" t="n"/>
    </row>
    <row r="64" ht="12.75" customHeight="1" s="82">
      <c r="A64" s="83" t="n"/>
      <c r="B64" s="161" t="inlineStr">
        <is>
          <t xml:space="preserve">  ScriptApp.newTrigger('checkMilestones').timeBased().atHour(TRIGGER_TIMES.MILESTONE_CHECK_HOUR).everyDays(1).create();</t>
        </is>
      </c>
      <c r="C64" s="83" t="n"/>
    </row>
    <row r="65" ht="12.75" customHeight="1" s="82">
      <c r="A65" s="83" t="n"/>
      <c r="B65" s="162" t="n"/>
      <c r="C65" s="83" t="n"/>
    </row>
    <row r="66" ht="12.75" customHeight="1" s="82">
      <c r="A66" s="83" t="n"/>
      <c r="B66" s="161" t="inlineStr">
        <is>
          <t xml:space="preserve">  // Always resolve the SAME calendar instead of risking a duplicate</t>
        </is>
      </c>
      <c r="C66" s="83" t="n"/>
    </row>
    <row r="67" ht="12.75" customHeight="1" s="82">
      <c r="A67" s="83" t="n"/>
      <c r="B67" s="162" t="inlineStr">
        <is>
          <t xml:space="preserve">  getOrCreateCalendar();</t>
        </is>
      </c>
      <c r="C67" s="83" t="n"/>
    </row>
    <row r="68" ht="12.75" customHeight="1" s="82">
      <c r="A68" s="83" t="n"/>
      <c r="B68" s="161" t="n"/>
      <c r="C68" s="83" t="n"/>
    </row>
    <row r="69" ht="12.75" customHeight="1" s="82">
      <c r="A69" s="83" t="n"/>
      <c r="B69" s="162" t="inlineStr">
        <is>
          <t xml:space="preserve">  // Push everything currently on the sheet straight away, so events</t>
        </is>
      </c>
      <c r="C69" s="83" t="n"/>
    </row>
    <row r="70" ht="12.75" customHeight="1" s="82">
      <c r="A70" s="83" t="n"/>
      <c r="B70" s="161" t="inlineStr">
        <is>
          <t xml:space="preserve">  // show up on the calendar immediately instead of waiting for the trigger.</t>
        </is>
      </c>
      <c r="C70" s="83" t="n"/>
    </row>
    <row r="71" ht="12.75" customHeight="1" s="82">
      <c r="A71" s="83" t="n"/>
      <c r="B71" s="162" t="inlineStr">
        <is>
          <t xml:space="preserve">  const result = syncAllPoliciesToCalendarSilent();</t>
        </is>
      </c>
      <c r="C71" s="83" t="n"/>
    </row>
    <row r="72" ht="12.75" customHeight="1" s="82">
      <c r="A72" s="83" t="n"/>
      <c r="B72" s="161" t="n"/>
      <c r="C72" s="83" t="n"/>
    </row>
    <row r="73" ht="12.75" customHeight="1" s="82">
      <c r="A73" s="83" t="n"/>
      <c r="B73" s="162" t="inlineStr">
        <is>
          <t xml:space="preserve">  SpreadsheetApp.getUi().alert(</t>
        </is>
      </c>
      <c r="C73" s="83" t="n"/>
    </row>
    <row r="74" ht="12.75" customHeight="1" s="82">
      <c r="A74" s="83" t="n"/>
      <c r="B74" s="161" t="inlineStr">
        <is>
          <t xml:space="preserve">    'Setup complete!\n\n' +</t>
        </is>
      </c>
      <c r="C74" s="83" t="n"/>
    </row>
    <row r="75" ht="12.75" customHeight="1" s="82">
      <c r="A75" s="83" t="n"/>
      <c r="B75" s="162" t="inlineStr">
        <is>
          <t xml:space="preserve">    '✓ Calendar sync — daily ' + fmtHour(TRIGGER_TIMES.CALENDAR_SYNC_HOUR) + ', plus instantly as you edit (' + result.synced + ' polic' + (result.synced === 1 ? 'y' : 'ies') + ' pushed just now)\n' +</t>
        </is>
      </c>
      <c r="C75" s="83" t="n"/>
    </row>
    <row r="76" ht="12.75" customHeight="1" s="82">
      <c r="A76" s="83" t="n"/>
      <c r="B76" s="161" t="inlineStr">
        <is>
          <t xml:space="preserve">    '✓ Daily Digest — daily ' + fmtHour(TRIGGER_TIMES.DAILY_DIGEST_HOUR) + ', to your team inbox\n' +</t>
        </is>
      </c>
      <c r="C76" s="83" t="n"/>
    </row>
    <row r="77" ht="12.75" customHeight="1" s="82">
      <c r="A77" s="83" t="n"/>
      <c r="B77" s="162" t="inlineStr">
        <is>
          <t xml:space="preserve">    '✓ Weekly Summary — Monday ' + fmtHour(TRIGGER_TIMES.WEEKLY_SUMMARY_HOUR) + ', to your team inbox\n' +</t>
        </is>
      </c>
      <c r="C77" s="83" t="n"/>
    </row>
    <row r="78" ht="12.75" customHeight="1" s="82">
      <c r="A78" s="83" t="n"/>
      <c r="B78" s="161" t="inlineStr">
        <is>
          <t xml:space="preserve">    '✓ Milestone Alert — checked daily ' + fmtHour(TRIGGER_TIMES.MILESTONE_CHECK_HOUR) + ', sent to clients only the day a policy crosses 60/30/14/7/3/1/0 days out\n\n' +</t>
        </is>
      </c>
      <c r="C78" s="83" t="n"/>
    </row>
    <row r="79" ht="12.75" customHeight="1" s="82">
      <c r="A79" s="83" t="n"/>
      <c r="B79" s="162" t="inlineStr">
        <is>
          <t xml:space="preserve">    'All four default to 8am — change TRIGGER_TIMES at the top of the script any time (handy for testing) and re-run this function to apply.'</t>
        </is>
      </c>
      <c r="C79" s="83" t="n"/>
    </row>
    <row r="80" ht="12.75" customHeight="1" s="82">
      <c r="A80" s="83" t="n"/>
      <c r="B80" s="161" t="inlineStr">
        <is>
          <t xml:space="preserve">  );</t>
        </is>
      </c>
      <c r="C80" s="83" t="n"/>
    </row>
    <row r="81" ht="12.75" customHeight="1" s="82">
      <c r="A81" s="83" t="n"/>
      <c r="B81" s="162" t="inlineStr">
        <is>
          <t>}</t>
        </is>
      </c>
      <c r="C81" s="83" t="n"/>
    </row>
    <row r="82" ht="12.75" customHeight="1" s="82">
      <c r="A82" s="83" t="n"/>
      <c r="B82" s="161" t="n"/>
      <c r="C82" s="83" t="n"/>
    </row>
    <row r="83" ht="12.75" customHeight="1" s="82">
      <c r="A83" s="83" t="n"/>
      <c r="B83" s="162" t="inlineStr">
        <is>
          <t>function fmtHour(h) {</t>
        </is>
      </c>
      <c r="C83" s="83" t="n"/>
    </row>
    <row r="84" ht="12.75" customHeight="1" s="82">
      <c r="A84" s="83" t="n"/>
      <c r="B84" s="161" t="inlineStr">
        <is>
          <t xml:space="preserve">  const period = h &gt;= 12 ? 'pm' : 'am';</t>
        </is>
      </c>
      <c r="C84" s="83" t="n"/>
    </row>
    <row r="85" ht="12.75" customHeight="1" s="82">
      <c r="A85" s="83" t="n"/>
      <c r="B85" s="162" t="inlineStr">
        <is>
          <t xml:space="preserve">  const h12 = ((h % 12) === 0) ? 12 : (h % 12);</t>
        </is>
      </c>
      <c r="C85" s="83" t="n"/>
    </row>
    <row r="86" ht="12.75" customHeight="1" s="82">
      <c r="A86" s="83" t="n"/>
      <c r="B86" s="161" t="inlineStr">
        <is>
          <t xml:space="preserve">  return h12 + ':00' + period;</t>
        </is>
      </c>
      <c r="C86" s="83" t="n"/>
    </row>
    <row r="87" ht="12.75" customHeight="1" s="82">
      <c r="A87" s="83" t="n"/>
      <c r="B87" s="162" t="inlineStr">
        <is>
          <t>}</t>
        </is>
      </c>
      <c r="C87" s="83" t="n"/>
    </row>
    <row r="88" ht="12.75" customHeight="1" s="82">
      <c r="A88" s="83" t="n"/>
      <c r="B88" s="161" t="n"/>
      <c r="C88" s="83" t="n"/>
    </row>
    <row r="89" ht="12.75" customHeight="1" s="82">
      <c r="A89" s="83" t="n"/>
      <c r="B89" s="162" t="inlineStr">
        <is>
          <t>// ── MANUAL TEST HELPERS — run any of these directly from the Apps</t>
        </is>
      </c>
      <c r="C89" s="83" t="n"/>
    </row>
    <row r="90" ht="12.75" customHeight="1" s="82">
      <c r="A90" s="83" t="n"/>
      <c r="B90" s="161" t="inlineStr">
        <is>
          <t>//    Script editor (▶ button) to preview an email without waiting</t>
        </is>
      </c>
      <c r="C90" s="83" t="n"/>
    </row>
    <row r="91" ht="12.75" customHeight="1" s="82">
      <c r="A91" s="83" t="n"/>
      <c r="B91" s="162" t="inlineStr">
        <is>
          <t>//    for the trigger to fire. ───────────────────────────────────</t>
        </is>
      </c>
      <c r="C91" s="83" t="n"/>
    </row>
    <row r="92" ht="12.75" customHeight="1" s="82">
      <c r="A92" s="83" t="n"/>
      <c r="B92" s="161" t="inlineStr">
        <is>
          <t>function testDailyDigest() { sendDailyDigest(); }</t>
        </is>
      </c>
      <c r="C92" s="83" t="n"/>
    </row>
    <row r="93" ht="12.75" customHeight="1" s="82">
      <c r="A93" s="83" t="n"/>
      <c r="B93" s="162" t="inlineStr">
        <is>
          <t>function testWeeklySummary() { sendWeeklySummary(); }</t>
        </is>
      </c>
      <c r="C93" s="83" t="n"/>
    </row>
    <row r="94" ht="12.75" customHeight="1" s="82">
      <c r="A94" s="83" t="n"/>
      <c r="B94" s="161" t="inlineStr">
        <is>
          <t>function testMilestoneCheck() { checkMilestones(); }</t>
        </is>
      </c>
      <c r="C94" s="83" t="n"/>
    </row>
    <row r="95" ht="12.75" customHeight="1" s="82">
      <c r="A95" s="83" t="n"/>
      <c r="B95" s="162" t="n"/>
      <c r="C95" s="83" t="n"/>
    </row>
    <row r="96" ht="12.75" customHeight="1" s="82">
      <c r="A96" s="83" t="n"/>
      <c r="B96" s="161" t="inlineStr">
        <is>
          <t>// ── RUN THIS TO VERIFY THE FIX / FORCE-FIX EVERY EXISTING ROW ─────</t>
        </is>
      </c>
      <c r="C96" s="83" t="n"/>
    </row>
    <row r="97" ht="12.75" customHeight="1" s="82">
      <c r="A97" s="83" t="n"/>
      <c r="B97" s="162" t="inlineStr">
        <is>
          <t>//    Select this function in the dropdown next to ▶ and run it.</t>
        </is>
      </c>
      <c r="C97" s="83" t="n"/>
    </row>
    <row r="98" ht="12.75" customHeight="1" s="82">
      <c r="A98" s="83" t="n"/>
      <c r="B98" s="161" t="inlineStr">
        <is>
          <t>//    It re-normalizes every due date already on the sheet (handy if</t>
        </is>
      </c>
      <c r="C98" s="83" t="n"/>
    </row>
    <row r="99" ht="12.75" customHeight="1" s="82">
      <c r="A99" s="83" t="n"/>
      <c r="B99" s="162" t="inlineStr">
        <is>
          <t>//    some were entered before this version was installed) and pops</t>
        </is>
      </c>
      <c r="C99" s="83" t="n"/>
    </row>
    <row r="100" ht="12.75" customHeight="1" s="82">
      <c r="A100" s="83" t="n"/>
      <c r="B100" s="161" t="inlineStr">
        <is>
          <t>//    up a confirmation so you can see it actually ran.</t>
        </is>
      </c>
      <c r="C100" s="83" t="n"/>
    </row>
    <row r="101" ht="12.75" customHeight="1" s="82">
      <c r="A101" s="83" t="n"/>
      <c r="B101" s="162" t="inlineStr">
        <is>
          <t>function normalizeAllDueDates() {</t>
        </is>
      </c>
      <c r="C101" s="83" t="n"/>
    </row>
    <row r="102" ht="12.75" customHeight="1" s="82">
      <c r="A102" s="83" t="n"/>
      <c r="B102" s="161" t="inlineStr">
        <is>
          <t xml:space="preserve">  let fixed = 0;</t>
        </is>
      </c>
      <c r="C102" s="83" t="n"/>
    </row>
    <row r="103" ht="12.75" customHeight="1" s="82">
      <c r="A103" s="83" t="n"/>
      <c r="B103" s="162" t="inlineStr">
        <is>
          <t xml:space="preserve">  for (let row = FIRST_ROW; row &lt;= LAST_ROW; row++) {</t>
        </is>
      </c>
      <c r="C103" s="83" t="n"/>
    </row>
    <row r="104" ht="12.75" customHeight="1" s="82">
      <c r="A104" s="83" t="n"/>
      <c r="B104" s="161" t="inlineStr">
        <is>
          <t xml:space="preserve">    const sheet = SpreadsheetApp.getActiveSpreadsheet().getSheetByName(SHEET_NAME);</t>
        </is>
      </c>
      <c r="C104" s="83" t="n"/>
    </row>
    <row r="105" ht="12.75" customHeight="1" s="82">
      <c r="A105" s="83" t="n"/>
      <c r="B105" s="162" t="inlineStr">
        <is>
          <t xml:space="preserve">    const client = sheet.getRange(row, COL_CLIENT).getValue();</t>
        </is>
      </c>
      <c r="C105" s="83" t="n"/>
    </row>
    <row r="106" ht="12.75" customHeight="1" s="82">
      <c r="A106" s="83" t="n"/>
      <c r="B106" s="161" t="inlineStr">
        <is>
          <t xml:space="preserve">    if (!client || client.toString().trim() === '') continue;</t>
        </is>
      </c>
      <c r="C106" s="83" t="n"/>
    </row>
    <row r="107" ht="12.75" customHeight="1" s="82">
      <c r="A107" s="83" t="n"/>
      <c r="B107" s="162" t="inlineStr">
        <is>
          <t xml:space="preserve">    normalizeDueDate(row);</t>
        </is>
      </c>
      <c r="C107" s="83" t="n"/>
    </row>
    <row r="108" ht="12.75" customHeight="1" s="82">
      <c r="A108" s="83" t="n"/>
      <c r="B108" s="161" t="inlineStr">
        <is>
          <t xml:space="preserve">    fixed++;</t>
        </is>
      </c>
      <c r="C108" s="83" t="n"/>
    </row>
    <row r="109" ht="12.75" customHeight="1" s="82">
      <c r="A109" s="83" t="n"/>
      <c r="B109" s="162" t="inlineStr">
        <is>
          <t xml:space="preserve">  }</t>
        </is>
      </c>
      <c r="C109" s="83" t="n"/>
    </row>
    <row r="110" ht="12.75" customHeight="1" s="82">
      <c r="A110" s="83" t="n"/>
      <c r="B110" s="161" t="inlineStr">
        <is>
          <t xml:space="preserve">  const ui = SpreadsheetApp.getUi();</t>
        </is>
      </c>
      <c r="C110" s="83" t="n"/>
    </row>
    <row r="111" ht="12.75" customHeight="1" s="82">
      <c r="A111" s="83" t="n"/>
      <c r="B111" s="162" t="inlineStr">
        <is>
          <t xml:space="preserve">  if (ui) {</t>
        </is>
      </c>
      <c r="C111" s="83" t="n"/>
    </row>
    <row r="112" ht="12.75" customHeight="1" s="82">
      <c r="A112" s="83" t="n"/>
      <c r="B112" s="161" t="inlineStr">
        <is>
          <t xml:space="preserve">    ui.alert(</t>
        </is>
      </c>
      <c r="C112" s="83" t="n"/>
    </row>
    <row r="113" ht="12.75" customHeight="1" s="82">
      <c r="A113" s="83" t="n"/>
      <c r="B113" s="162" t="inlineStr">
        <is>
          <t xml:space="preserve">      '✓ Checked ' + fixed + ' polic' + (fixed === 1 ? 'y' : 'ies') + '.\n\n' +</t>
        </is>
      </c>
      <c r="C113" s="83" t="n"/>
    </row>
    <row r="114" ht="12.75" customHeight="1" s="82">
      <c r="A114" s="83" t="n"/>
      <c r="B114" s="161" t="inlineStr">
        <is>
          <t xml:space="preserve">      'Every due date has been re-read through this sheet\'s timezone (' + getTZ() + ') and rewritten as d mmm yyyy.\n\n' +</t>
        </is>
      </c>
      <c r="C114" s="83" t="n"/>
    </row>
    <row r="115" ht="12.75" customHeight="1" s="82">
      <c r="A115" s="83" t="n"/>
      <c r="B115" s="162" t="inlineStr">
        <is>
          <t xml:space="preserve">      'If a date still looks wrong after this, it is not a timezone issue — reply with the exact client, the date you typed, and what it shows now.'</t>
        </is>
      </c>
      <c r="C115" s="83" t="n"/>
    </row>
    <row r="116" ht="12.75" customHeight="1" s="82">
      <c r="A116" s="83" t="n"/>
      <c r="B116" s="161" t="inlineStr">
        <is>
          <t xml:space="preserve">    );</t>
        </is>
      </c>
      <c r="C116" s="83" t="n"/>
    </row>
    <row r="117" ht="12.75" customHeight="1" s="82">
      <c r="A117" s="83" t="n"/>
      <c r="B117" s="162" t="inlineStr">
        <is>
          <t xml:space="preserve">  }</t>
        </is>
      </c>
      <c r="C117" s="83" t="n"/>
    </row>
    <row r="118" ht="12.75" customHeight="1" s="82">
      <c r="A118" s="83" t="n"/>
      <c r="B118" s="161" t="inlineStr">
        <is>
          <t>}</t>
        </is>
      </c>
      <c r="C118" s="83" t="n"/>
    </row>
    <row r="119" ht="12.75" customHeight="1" s="82">
      <c r="A119" s="83" t="n"/>
      <c r="B119" s="162" t="n"/>
      <c r="C119" s="83" t="n"/>
    </row>
    <row r="120" ht="12.75" customHeight="1" s="82">
      <c r="A120" s="83" t="n"/>
      <c r="B120" s="161" t="inlineStr">
        <is>
          <t>// ── ON EDIT: keep calendar + date formatting in sync as staff type ─</t>
        </is>
      </c>
      <c r="C120" s="83" t="n"/>
    </row>
    <row r="121" ht="12.75" customHeight="1" s="82">
      <c r="A121" s="83" t="n"/>
      <c r="B121" s="162" t="inlineStr">
        <is>
          <t>function onEditHandler(e) {</t>
        </is>
      </c>
      <c r="C121" s="83" t="n"/>
    </row>
    <row r="122" ht="12.75" customHeight="1" s="82">
      <c r="A122" s="83" t="n"/>
      <c r="B122" s="161" t="inlineStr">
        <is>
          <t xml:space="preserve">  if (!e) return;</t>
        </is>
      </c>
      <c r="C122" s="83" t="n"/>
    </row>
    <row r="123" ht="12.75" customHeight="1" s="82">
      <c r="A123" s="83" t="n"/>
      <c r="B123" s="162" t="inlineStr">
        <is>
          <t xml:space="preserve">  const sheet = e.source.getActiveSheet();</t>
        </is>
      </c>
      <c r="C123" s="83" t="n"/>
    </row>
    <row r="124" ht="12.75" customHeight="1" s="82">
      <c r="A124" s="83" t="n"/>
      <c r="B124" s="161" t="inlineStr">
        <is>
          <t xml:space="preserve">  if (sheet.getName() !== SHEET_NAME) return;</t>
        </is>
      </c>
      <c r="C124" s="83" t="n"/>
    </row>
    <row r="125" ht="12.75" customHeight="1" s="82">
      <c r="A125" s="83" t="n"/>
      <c r="B125" s="162" t="inlineStr">
        <is>
          <t xml:space="preserve">  const row = e.range.getRow();</t>
        </is>
      </c>
      <c r="C125" s="83" t="n"/>
    </row>
    <row r="126" ht="12.75" customHeight="1" s="82">
      <c r="A126" s="83" t="n"/>
      <c r="B126" s="161" t="inlineStr">
        <is>
          <t xml:space="preserve">  const col = e.range.getColumn();</t>
        </is>
      </c>
      <c r="C126" s="83" t="n"/>
    </row>
    <row r="127" ht="12.75" customHeight="1" s="82">
      <c r="A127" s="83" t="n"/>
      <c r="B127" s="162" t="inlineStr">
        <is>
          <t xml:space="preserve">  if (row &lt; FIRST_ROW) return;</t>
        </is>
      </c>
      <c r="C127" s="83" t="n"/>
    </row>
    <row r="128" ht="12.75" customHeight="1" s="82">
      <c r="A128" s="83" t="n"/>
      <c r="B128" s="161" t="n"/>
      <c r="C128" s="83" t="n"/>
    </row>
    <row r="129" ht="12.75" customHeight="1" s="82">
      <c r="A129" s="83" t="n"/>
      <c r="B129" s="162" t="inlineStr">
        <is>
          <t xml:space="preserve">  if (col === COL_DUE) {</t>
        </is>
      </c>
      <c r="C129" s="83" t="n"/>
    </row>
    <row r="130" ht="12.75" customHeight="1" s="82">
      <c r="A130" s="83" t="n"/>
      <c r="B130" s="161" t="inlineStr">
        <is>
          <t xml:space="preserve">    normalizeDueDate(row);</t>
        </is>
      </c>
      <c r="C130" s="83" t="n"/>
    </row>
    <row r="131" ht="12.75" customHeight="1" s="82">
      <c r="A131" s="83" t="n"/>
      <c r="B131" s="162" t="inlineStr">
        <is>
          <t xml:space="preserve">  }</t>
        </is>
      </c>
      <c r="C131" s="83" t="n"/>
    </row>
    <row r="132" ht="12.75" customHeight="1" s="82">
      <c r="A132" s="83" t="n"/>
      <c r="B132" s="161" t="n"/>
      <c r="C132" s="83" t="n"/>
    </row>
    <row r="133" ht="12.75" customHeight="1" s="82">
      <c r="A133" s="83" t="n"/>
      <c r="B133" s="162" t="inlineStr">
        <is>
          <t xml:space="preserve">  // Any column that changes what the calendar event shows should re-sync.</t>
        </is>
      </c>
      <c r="C133" s="83" t="n"/>
    </row>
    <row r="134" ht="12.75" customHeight="1" s="82">
      <c r="A134" s="83" t="n"/>
      <c r="B134" s="161" t="inlineStr">
        <is>
          <t xml:space="preserve">  const watchedCols = [COL_CLIENT, COL_CLASS, COL_DESC, COL_DUE, COL_STATUS, COL_NOTES];</t>
        </is>
      </c>
      <c r="C134" s="83" t="n"/>
    </row>
    <row r="135" ht="12.75" customHeight="1" s="82">
      <c r="A135" s="83" t="n"/>
      <c r="B135" s="162" t="inlineStr">
        <is>
          <t xml:space="preserve">  if (watchedCols.includes(col)) {</t>
        </is>
      </c>
      <c r="C135" s="83" t="n"/>
    </row>
    <row r="136" ht="12.75" customHeight="1" s="82">
      <c r="A136" s="83" t="n"/>
      <c r="B136" s="161" t="inlineStr">
        <is>
          <t xml:space="preserve">    Utilities.sleep(400);</t>
        </is>
      </c>
      <c r="C136" s="83" t="n"/>
    </row>
    <row r="137" ht="12.75" customHeight="1" s="82">
      <c r="A137" s="83" t="n"/>
      <c r="B137" s="162" t="inlineStr">
        <is>
          <t xml:space="preserve">    syncPolicyToCalendar(row);</t>
        </is>
      </c>
      <c r="C137" s="83" t="n"/>
    </row>
    <row r="138" ht="12.75" customHeight="1" s="82">
      <c r="A138" s="83" t="n"/>
      <c r="B138" s="161" t="inlineStr">
        <is>
          <t xml:space="preserve">  }</t>
        </is>
      </c>
      <c r="C138" s="83" t="n"/>
    </row>
    <row r="139" ht="12.75" customHeight="1" s="82">
      <c r="A139" s="83" t="n"/>
      <c r="B139" s="162" t="inlineStr">
        <is>
          <t>}</t>
        </is>
      </c>
      <c r="C139" s="83" t="n"/>
    </row>
    <row r="140" ht="12.75" customHeight="1" s="82">
      <c r="A140" s="83" t="n"/>
      <c r="B140" s="161" t="n"/>
      <c r="C140" s="83" t="n"/>
    </row>
    <row r="141" ht="12.75" customHeight="1" s="82">
      <c r="A141" s="83" t="n"/>
      <c r="B141" s="162" t="inlineStr">
        <is>
          <t>// ── DATE HARMONIZER — whatever a person types (numbers, words,</t>
        </is>
      </c>
      <c r="C141" s="83" t="n"/>
    </row>
    <row r="142" ht="12.75" customHeight="1" s="82">
      <c r="A142" s="83" t="n"/>
      <c r="B142" s="161" t="inlineStr">
        <is>
          <t>//    dd/mm/yyyy, "12 Aug 2026", "August 12, 2026", "8th August 2026"...)</t>
        </is>
      </c>
      <c r="C142" s="83" t="n"/>
    </row>
    <row r="143" ht="12.75" customHeight="1" s="82">
      <c r="A143" s="83" t="n"/>
      <c r="B143" s="162" t="inlineStr">
        <is>
          <t>//    becomes the same real date, in the same display format — and</t>
        </is>
      </c>
      <c r="C143" s="83" t="n"/>
    </row>
    <row r="144" ht="12.75" customHeight="1" s="82">
      <c r="A144" s="83" t="n"/>
      <c r="B144" s="161" t="inlineStr">
        <is>
          <t>//    never drifts by a day, no matter what timezone the script runs in.</t>
        </is>
      </c>
      <c r="C144" s="83" t="n"/>
    </row>
    <row r="145" ht="12.75" customHeight="1" s="82">
      <c r="A145" s="83" t="n"/>
      <c r="B145" s="162" t="inlineStr">
        <is>
          <t>//</t>
        </is>
      </c>
      <c r="C145" s="83" t="n"/>
    </row>
    <row r="146" ht="12.75" customHeight="1" s="82">
      <c r="A146" s="83" t="n"/>
      <c r="B146" s="161" t="inlineStr">
        <is>
          <t>//    Apps Script's underlying clock is always UTC, but the spreadsheet</t>
        </is>
      </c>
      <c r="C146" s="83" t="n"/>
    </row>
    <row r="147" ht="12.75" customHeight="1" s="82">
      <c r="A147" s="83" t="n"/>
      <c r="B147" s="162" t="inlineStr">
        <is>
          <t>//    has its own timezone (File → Settings). Naively zeroing a Date's</t>
        </is>
      </c>
      <c r="C147" s="83" t="n"/>
    </row>
    <row r="148" ht="12.75" customHeight="1" s="82">
      <c r="A148" s="83" t="n"/>
      <c r="B148" s="161" t="inlineStr">
        <is>
          <t>//    UTC hours can round a date down to the previous day if the two</t>
        </is>
      </c>
      <c r="C148" s="83" t="n"/>
    </row>
    <row r="149" ht="12.75" customHeight="1" s="82">
      <c r="A149" s="83" t="n"/>
      <c r="B149" s="162" t="inlineStr">
        <is>
          <t>//    timezones don't match. The fix: always read the calendar day back</t>
        </is>
      </c>
      <c r="C149" s="83" t="n"/>
    </row>
    <row r="150" ht="12.75" customHeight="1" s="82">
      <c r="A150" s="83" t="n"/>
      <c r="B150" s="161" t="inlineStr">
        <is>
          <t>//    out through the SPREADSHEET's timezone, then rebuild a clean date</t>
        </is>
      </c>
      <c r="C150" s="83" t="n"/>
    </row>
    <row r="151" ht="12.75" customHeight="1" s="82">
      <c r="A151" s="83" t="n"/>
      <c r="B151" s="162" t="inlineStr">
        <is>
          <t>//    from those year/month/day numbers — never trust raw UTC hours.</t>
        </is>
      </c>
      <c r="C151" s="83" t="n"/>
    </row>
    <row r="152" ht="12.75" customHeight="1" s="82">
      <c r="A152" s="83" t="n"/>
      <c r="B152" s="161" t="inlineStr">
        <is>
          <t>function getTZ() {</t>
        </is>
      </c>
      <c r="C152" s="83" t="n"/>
    </row>
    <row r="153" ht="12.75" customHeight="1" s="82">
      <c r="A153" s="83" t="n"/>
      <c r="B153" s="162" t="inlineStr">
        <is>
          <t xml:space="preserve">  return SpreadsheetApp.getActiveSpreadsheet().getSpreadsheetTimeZone();</t>
        </is>
      </c>
      <c r="C153" s="83" t="n"/>
    </row>
    <row r="154" ht="12.75" customHeight="1" s="82">
      <c r="A154" s="83" t="n"/>
      <c r="B154" s="161" t="inlineStr">
        <is>
          <t>}</t>
        </is>
      </c>
      <c r="C154" s="83" t="n"/>
    </row>
    <row r="155" ht="12.75" customHeight="1" s="82">
      <c r="A155" s="83" t="n"/>
      <c r="B155" s="162" t="n"/>
      <c r="C155" s="83" t="n"/>
    </row>
    <row r="156" ht="12.75" customHeight="1" s="82">
      <c r="A156" s="83" t="n"/>
      <c r="B156" s="161" t="inlineStr">
        <is>
          <t>function extractCalendarDate(raw) {</t>
        </is>
      </c>
      <c r="C156" s="83" t="n"/>
    </row>
    <row r="157" ht="12.75" customHeight="1" s="82">
      <c r="A157" s="83" t="n"/>
      <c r="B157" s="162" t="inlineStr">
        <is>
          <t xml:space="preserve">  const tz = getTZ();</t>
        </is>
      </c>
      <c r="C157" s="83" t="n"/>
    </row>
    <row r="158" ht="12.75" customHeight="1" s="82">
      <c r="A158" s="83" t="n"/>
      <c r="B158" s="161" t="n"/>
      <c r="C158" s="83" t="n"/>
    </row>
    <row r="159" ht="12.75" customHeight="1" s="82">
      <c r="A159" s="83" t="n"/>
      <c r="B159" s="162" t="inlineStr">
        <is>
          <t xml:space="preserve">  if (raw instanceof Date &amp;&amp; !isNaN(raw.getTime())) {</t>
        </is>
      </c>
      <c r="C159" s="83" t="n"/>
    </row>
    <row r="160" ht="12.75" customHeight="1" s="82">
      <c r="A160" s="83" t="n"/>
      <c r="B160" s="161" t="inlineStr">
        <is>
          <t xml:space="preserve">    const parts = Utilities.formatDate(raw, tz, 'yyyy-MM-dd').split('-');</t>
        </is>
      </c>
      <c r="C160" s="83" t="n"/>
    </row>
    <row r="161" ht="12.75" customHeight="1" s="82">
      <c r="A161" s="83" t="n"/>
      <c r="B161" s="162" t="inlineStr">
        <is>
          <t xml:space="preserve">    return { y: parseInt(parts[0], 10), m: parseInt(parts[1], 10), d: parseInt(parts[2], 10) };</t>
        </is>
      </c>
      <c r="C161" s="83" t="n"/>
    </row>
    <row r="162" ht="12.75" customHeight="1" s="82">
      <c r="A162" s="83" t="n"/>
      <c r="B162" s="161" t="inlineStr">
        <is>
          <t xml:space="preserve">  }</t>
        </is>
      </c>
      <c r="C162" s="83" t="n"/>
    </row>
    <row r="163" ht="12.75" customHeight="1" s="82">
      <c r="A163" s="83" t="n"/>
      <c r="B163" s="162" t="n"/>
      <c r="C163" s="83" t="n"/>
    </row>
    <row r="164" ht="12.75" customHeight="1" s="82">
      <c r="A164" s="83" t="n"/>
      <c r="B164" s="161" t="inlineStr">
        <is>
          <t xml:space="preserve">  if (typeof raw === 'string' &amp;&amp; raw.trim() !== '') {</t>
        </is>
      </c>
      <c r="C164" s="83" t="n"/>
    </row>
    <row r="165" ht="12.75" customHeight="1" s="82">
      <c r="A165" s="83" t="n"/>
      <c r="B165" s="162" t="inlineStr">
        <is>
          <t xml:space="preserve">    const cleaned = raw.trim();</t>
        </is>
      </c>
      <c r="C165" s="83" t="n"/>
    </row>
    <row r="166" ht="12.75" customHeight="1" s="82">
      <c r="A166" s="83" t="n"/>
      <c r="B166" s="161" t="n"/>
      <c r="C166" s="83" t="n"/>
    </row>
    <row r="167" ht="12.75" customHeight="1" s="82">
      <c r="A167" s="83" t="n"/>
      <c r="B167" s="162" t="inlineStr">
        <is>
          <t xml:space="preserve">    // dd/mm/yyyy or dd-mm-yyyy first — avoids JS misreading it as US mm/dd</t>
        </is>
      </c>
      <c r="C167" s="83" t="n"/>
    </row>
    <row r="168" ht="12.75" customHeight="1" s="82">
      <c r="A168" s="83" t="n"/>
      <c r="B168" s="161" t="inlineStr">
        <is>
          <t xml:space="preserve">    const slash = cleaned.match(/^(\d{1,2})[\/\-](\d{1,2})[\/\-](\d{2,4})$/);</t>
        </is>
      </c>
      <c r="C168" s="83" t="n"/>
    </row>
    <row r="169" ht="12.75" customHeight="1" s="82">
      <c r="A169" s="83" t="n"/>
      <c r="B169" s="162" t="inlineStr">
        <is>
          <t xml:space="preserve">    if (slash) {</t>
        </is>
      </c>
      <c r="C169" s="83" t="n"/>
    </row>
    <row r="170" ht="12.75" customHeight="1" s="82">
      <c r="A170" s="83" t="n"/>
      <c r="B170" s="161" t="inlineStr">
        <is>
          <t xml:space="preserve">      const d = parseInt(slash[1], 10);</t>
        </is>
      </c>
      <c r="C170" s="83" t="n"/>
    </row>
    <row r="171" ht="12.75" customHeight="1" s="82">
      <c r="A171" s="83" t="n"/>
      <c r="B171" s="162" t="inlineStr">
        <is>
          <t xml:space="preserve">      const m = parseInt(slash[2], 10);</t>
        </is>
      </c>
      <c r="C171" s="83" t="n"/>
    </row>
    <row r="172" ht="12.75" customHeight="1" s="82">
      <c r="A172" s="83" t="n"/>
      <c r="B172" s="161" t="inlineStr">
        <is>
          <t xml:space="preserve">      const y = slash[3].length === 2 ? 2000 + parseInt(slash[3], 10) : parseInt(slash[3], 10);</t>
        </is>
      </c>
      <c r="C172" s="83" t="n"/>
    </row>
    <row r="173" ht="12.75" customHeight="1" s="82">
      <c r="A173" s="83" t="n"/>
      <c r="B173" s="162" t="inlineStr">
        <is>
          <t xml:space="preserve">      return { y: y, m: m, d: d };</t>
        </is>
      </c>
      <c r="C173" s="83" t="n"/>
    </row>
    <row r="174" ht="12.75" customHeight="1" s="82">
      <c r="A174" s="83" t="n"/>
      <c r="B174" s="161" t="inlineStr">
        <is>
          <t xml:space="preserve">    }</t>
        </is>
      </c>
      <c r="C174" s="83" t="n"/>
    </row>
    <row r="175" ht="12.75" customHeight="1" s="82">
      <c r="A175" s="83" t="n"/>
      <c r="B175" s="162" t="n"/>
      <c r="C175" s="83" t="n"/>
    </row>
    <row r="176" ht="12.75" customHeight="1" s="82">
      <c r="A176" s="83" t="n"/>
      <c r="B176" s="161" t="inlineStr">
        <is>
          <t xml:space="preserve">    // Word dates ("8th August 2026", "August 8, 2026") — strip ordinal</t>
        </is>
      </c>
      <c r="C176" s="83" t="n"/>
    </row>
    <row r="177" ht="12.75" customHeight="1" s="82">
      <c r="A177" s="83" t="n"/>
      <c r="B177" s="162" t="inlineStr">
        <is>
          <t xml:space="preserve">    // suffixes so "8th" doesn't confuse the parser, let JS read it, then</t>
        </is>
      </c>
      <c r="C177" s="83" t="n"/>
    </row>
    <row r="178" ht="12.75" customHeight="1" s="82">
      <c r="A178" s="83" t="n"/>
      <c r="B178" s="161" t="inlineStr">
        <is>
          <t xml:space="preserve">    // re-extract the calendar day through the spreadsheet's timezone</t>
        </is>
      </c>
      <c r="C178" s="83" t="n"/>
    </row>
    <row r="179" ht="12.75" customHeight="1" s="82">
      <c r="A179" s="83" t="n"/>
      <c r="B179" s="162" t="inlineStr">
        <is>
          <t xml:space="preserve">    // instead of trusting the parsed Date's raw UTC hours.</t>
        </is>
      </c>
      <c r="C179" s="83" t="n"/>
    </row>
    <row r="180" ht="12.75" customHeight="1" s="82">
      <c r="A180" s="83" t="n"/>
      <c r="B180" s="161" t="inlineStr">
        <is>
          <t xml:space="preserve">    const noOrdinals = cleaned.replace(/(\d+)(st|nd|rd|th)\b/gi, '$1');</t>
        </is>
      </c>
      <c r="C180" s="83" t="n"/>
    </row>
    <row r="181" ht="12.75" customHeight="1" s="82">
      <c r="A181" s="83" t="n"/>
      <c r="B181" s="162" t="inlineStr">
        <is>
          <t xml:space="preserve">    const parsedDate = new Date(noOrdinals);</t>
        </is>
      </c>
      <c r="C181" s="83" t="n"/>
    </row>
    <row r="182" ht="12.75" customHeight="1" s="82">
      <c r="A182" s="83" t="n"/>
      <c r="B182" s="161" t="inlineStr">
        <is>
          <t xml:space="preserve">    if (!isNaN(parsedDate.getTime())) {</t>
        </is>
      </c>
      <c r="C182" s="83" t="n"/>
    </row>
    <row r="183" ht="12.75" customHeight="1" s="82">
      <c r="A183" s="83" t="n"/>
      <c r="B183" s="162" t="inlineStr">
        <is>
          <t xml:space="preserve">      const parts = Utilities.formatDate(parsedDate, tz, 'yyyy-MM-dd').split('-');</t>
        </is>
      </c>
      <c r="C183" s="83" t="n"/>
    </row>
    <row r="184" ht="12.75" customHeight="1" s="82">
      <c r="A184" s="83" t="n"/>
      <c r="B184" s="161" t="inlineStr">
        <is>
          <t xml:space="preserve">      return { y: parseInt(parts[0], 10), m: parseInt(parts[1], 10), d: parseInt(parts[2], 10) };</t>
        </is>
      </c>
      <c r="C184" s="83" t="n"/>
    </row>
    <row r="185" ht="12.75" customHeight="1" s="82">
      <c r="A185" s="83" t="n"/>
      <c r="B185" s="162" t="inlineStr">
        <is>
          <t xml:space="preserve">    }</t>
        </is>
      </c>
      <c r="C185" s="83" t="n"/>
    </row>
    <row r="186" ht="12.75" customHeight="1" s="82">
      <c r="A186" s="83" t="n"/>
      <c r="B186" s="161" t="inlineStr">
        <is>
          <t xml:space="preserve">  }</t>
        </is>
      </c>
      <c r="C186" s="83" t="n"/>
    </row>
    <row r="187" ht="12.75" customHeight="1" s="82">
      <c r="A187" s="83" t="n"/>
      <c r="B187" s="162" t="n"/>
      <c r="C187" s="83" t="n"/>
    </row>
    <row r="188" ht="12.75" customHeight="1" s="82">
      <c r="A188" s="83" t="n"/>
      <c r="B188" s="161" t="inlineStr">
        <is>
          <t xml:space="preserve">  return null;</t>
        </is>
      </c>
      <c r="C188" s="83" t="n"/>
    </row>
    <row r="189" ht="12.75" customHeight="1" s="82">
      <c r="A189" s="83" t="n"/>
      <c r="B189" s="162" t="inlineStr">
        <is>
          <t>}</t>
        </is>
      </c>
      <c r="C189" s="83" t="n"/>
    </row>
    <row r="190" ht="12.75" customHeight="1" s="82">
      <c r="A190" s="83" t="n"/>
      <c r="B190" s="161" t="n"/>
      <c r="C190" s="83" t="n"/>
    </row>
    <row r="191" ht="12.75" customHeight="1" s="82">
      <c r="A191" s="83" t="n"/>
      <c r="B191" s="162" t="inlineStr">
        <is>
          <t>// A clean Date object for a given calendar day, safe to compare/store.</t>
        </is>
      </c>
      <c r="C191" s="83" t="n"/>
    </row>
    <row r="192" ht="12.75" customHeight="1" s="82">
      <c r="A192" s="83" t="n"/>
      <c r="B192" s="161" t="inlineStr">
        <is>
          <t>function canonicalDate(y, m, d) {</t>
        </is>
      </c>
      <c r="C192" s="83" t="n"/>
    </row>
    <row r="193" ht="12.75" customHeight="1" s="82">
      <c r="A193" s="83" t="n"/>
      <c r="B193" s="162" t="inlineStr">
        <is>
          <t xml:space="preserve">  return new Date(y, m - 1, d);</t>
        </is>
      </c>
      <c r="C193" s="83" t="n"/>
    </row>
    <row r="194" ht="12.75" customHeight="1" s="82">
      <c r="A194" s="83" t="n"/>
      <c r="B194" s="161" t="inlineStr">
        <is>
          <t>}</t>
        </is>
      </c>
      <c r="C194" s="83" t="n"/>
    </row>
    <row r="195" ht="12.75" customHeight="1" s="82">
      <c r="A195" s="83" t="n"/>
      <c r="B195" s="162" t="n"/>
      <c r="C195" s="83" t="n"/>
    </row>
    <row r="196" ht="12.75" customHeight="1" s="82">
      <c r="A196" s="83" t="n"/>
      <c r="B196" s="161" t="inlineStr">
        <is>
          <t>// "Today" as a clean calendar-day Date, read through the spreadsheet's</t>
        </is>
      </c>
      <c r="C196" s="83" t="n"/>
    </row>
    <row r="197" ht="12.75" customHeight="1" s="82">
      <c r="A197" s="83" t="n"/>
      <c r="B197" s="162" t="inlineStr">
        <is>
          <t>// own timezone (safer than new Date() + setHours near a midnight boundary).</t>
        </is>
      </c>
      <c r="C197" s="83" t="n"/>
    </row>
    <row r="198" ht="12.75" customHeight="1" s="82">
      <c r="A198" s="83" t="n"/>
      <c r="B198" s="161" t="inlineStr">
        <is>
          <t>function getTodayCanonical() {</t>
        </is>
      </c>
      <c r="C198" s="83" t="n"/>
    </row>
    <row r="199" ht="12.75" customHeight="1" s="82">
      <c r="A199" s="83" t="n"/>
      <c r="B199" s="162" t="inlineStr">
        <is>
          <t xml:space="preserve">  const ymd = extractCalendarDate(new Date());</t>
        </is>
      </c>
      <c r="C199" s="83" t="n"/>
    </row>
    <row r="200" ht="12.75" customHeight="1" s="82">
      <c r="A200" s="83" t="n"/>
      <c r="B200" s="161" t="inlineStr">
        <is>
          <t xml:space="preserve">  return canonicalDate(ymd.y, ymd.m, ymd.d);</t>
        </is>
      </c>
      <c r="C200" s="83" t="n"/>
    </row>
    <row r="201" ht="12.75" customHeight="1" s="82">
      <c r="A201" s="83" t="n"/>
      <c r="B201" s="162" t="inlineStr">
        <is>
          <t>}</t>
        </is>
      </c>
      <c r="C201" s="83" t="n"/>
    </row>
    <row r="202" ht="12.75" customHeight="1" s="82">
      <c r="A202" s="83" t="n"/>
      <c r="B202" s="161" t="n"/>
      <c r="C202" s="83" t="n"/>
    </row>
    <row r="203" ht="12.75" customHeight="1" s="82">
      <c r="A203" s="83" t="n"/>
      <c r="B203" s="162" t="inlineStr">
        <is>
          <t>function normalizeDueDate(row) {</t>
        </is>
      </c>
      <c r="C203" s="83" t="n"/>
    </row>
    <row r="204" ht="12.75" customHeight="1" s="82">
      <c r="A204" s="83" t="n"/>
      <c r="B204" s="161" t="inlineStr">
        <is>
          <t xml:space="preserve">  const sheet = SpreadsheetApp.getActiveSpreadsheet().getSheetByName(SHEET_NAME);</t>
        </is>
      </c>
      <c r="C204" s="83" t="n"/>
    </row>
    <row r="205" ht="12.75" customHeight="1" s="82">
      <c r="A205" s="83" t="n"/>
      <c r="B205" s="162" t="inlineStr">
        <is>
          <t xml:space="preserve">  const cell  = sheet.getRange(row, COL_DUE);</t>
        </is>
      </c>
      <c r="C205" s="83" t="n"/>
    </row>
    <row r="206" ht="12.75" customHeight="1" s="82">
      <c r="A206" s="83" t="n"/>
      <c r="B206" s="161" t="inlineStr">
        <is>
          <t xml:space="preserve">  const raw   = cell.getValue();</t>
        </is>
      </c>
      <c r="C206" s="83" t="n"/>
    </row>
    <row r="207" ht="12.75" customHeight="1" s="82">
      <c r="A207" s="83" t="n"/>
      <c r="B207" s="162" t="inlineStr">
        <is>
          <t xml:space="preserve">  const ymd   = extractCalendarDate(raw);</t>
        </is>
      </c>
      <c r="C207" s="83" t="n"/>
    </row>
    <row r="208" ht="12.75" customHeight="1" s="82">
      <c r="A208" s="83" t="n"/>
      <c r="B208" s="161" t="n"/>
      <c r="C208" s="83" t="n"/>
    </row>
    <row r="209" ht="12.75" customHeight="1" s="82">
      <c r="A209" s="83" t="n"/>
      <c r="B209" s="162" t="inlineStr">
        <is>
          <t xml:space="preserve">  if (ymd) {</t>
        </is>
      </c>
      <c r="C209" s="83" t="n"/>
    </row>
    <row r="210" ht="12.75" customHeight="1" s="82">
      <c r="A210" s="83" t="n"/>
      <c r="B210" s="161" t="inlineStr">
        <is>
          <t xml:space="preserve">    cell.setValue(canonicalDate(ymd.y, ymd.m, ymd.d));</t>
        </is>
      </c>
      <c r="C210" s="83" t="n"/>
    </row>
    <row r="211" ht="12.75" customHeight="1" s="82">
      <c r="A211" s="83" t="n"/>
      <c r="B211" s="162" t="inlineStr">
        <is>
          <t xml:space="preserve">  }</t>
        </is>
      </c>
      <c r="C211" s="83" t="n"/>
    </row>
    <row r="212" ht="12.75" customHeight="1" s="82">
      <c r="A212" s="83" t="n"/>
      <c r="B212" s="161" t="inlineStr">
        <is>
          <t xml:space="preserve">  cell.setNumberFormat('d mmm yyyy');</t>
        </is>
      </c>
      <c r="C212" s="83" t="n"/>
    </row>
    <row r="213" ht="12.75" customHeight="1" s="82">
      <c r="A213" s="83" t="n"/>
      <c r="B213" s="162" t="inlineStr">
        <is>
          <t>}</t>
        </is>
      </c>
      <c r="C213" s="83" t="n"/>
    </row>
    <row r="214" ht="12.75" customHeight="1" s="82">
      <c r="A214" s="83" t="n"/>
      <c r="B214" s="161" t="n"/>
      <c r="C214" s="83" t="n"/>
    </row>
    <row r="215" ht="12.75" customHeight="1" s="82">
      <c r="A215" s="83" t="n"/>
      <c r="B215" s="162" t="inlineStr">
        <is>
          <t>// ── SYNC A SINGLE POLICY ROW TO CALENDAR ─────────────────────────</t>
        </is>
      </c>
      <c r="C215" s="83" t="n"/>
    </row>
    <row r="216" ht="12.75" customHeight="1" s="82">
      <c r="A216" s="83" t="n"/>
      <c r="B216" s="161" t="inlineStr">
        <is>
          <t>function syncPolicyToCalendar(row) {</t>
        </is>
      </c>
      <c r="C216" s="83" t="n"/>
    </row>
    <row r="217" ht="12.75" customHeight="1" s="82">
      <c r="A217" s="83" t="n"/>
      <c r="B217" s="162" t="inlineStr">
        <is>
          <t xml:space="preserve">  const sheet = SpreadsheetApp.getActiveSpreadsheet().getSheetByName(SHEET_NAME);</t>
        </is>
      </c>
      <c r="C217" s="83" t="n"/>
    </row>
    <row r="218" ht="12.75" customHeight="1" s="82">
      <c r="A218" s="83" t="n"/>
      <c r="B218" s="161" t="inlineStr">
        <is>
          <t xml:space="preserve">  const data  = sheet.getRange(row, 1, 1, 10).getValues()[0];</t>
        </is>
      </c>
      <c r="C218" s="83" t="n"/>
    </row>
    <row r="219" ht="12.75" customHeight="1" s="82">
      <c r="A219" s="83" t="n"/>
      <c r="B219" s="162" t="inlineStr">
        <is>
          <t xml:space="preserve">  const policyId = data[COL_ID - 1];</t>
        </is>
      </c>
      <c r="C219" s="83" t="n"/>
    </row>
    <row r="220" ht="12.75" customHeight="1" s="82">
      <c r="A220" s="83" t="n"/>
      <c r="B220" s="161" t="inlineStr">
        <is>
          <t xml:space="preserve">  const client    = data[COL_CLIENT - 1];</t>
        </is>
      </c>
      <c r="C220" s="83" t="n"/>
    </row>
    <row r="221" ht="12.75" customHeight="1" s="82">
      <c r="A221" s="83" t="n"/>
      <c r="B221" s="162" t="inlineStr">
        <is>
          <t xml:space="preserve">  const cls       = data[COL_CLASS - 1];</t>
        </is>
      </c>
      <c r="C221" s="83" t="n"/>
    </row>
    <row r="222" ht="12.75" customHeight="1" s="82">
      <c r="A222" s="83" t="n"/>
      <c r="B222" s="161" t="inlineStr">
        <is>
          <t xml:space="preserve">  const desc      = data[COL_DESC - 1];</t>
        </is>
      </c>
      <c r="C222" s="83" t="n"/>
    </row>
    <row r="223" ht="12.75" customHeight="1" s="82">
      <c r="A223" s="83" t="n"/>
      <c r="B223" s="162" t="inlineStr">
        <is>
          <t xml:space="preserve">  const due       = data[COL_DUE - 1];</t>
        </is>
      </c>
      <c r="C223" s="83" t="n"/>
    </row>
    <row r="224" ht="12.75" customHeight="1" s="82">
      <c r="A224" s="83" t="n"/>
      <c r="B224" s="161" t="inlineStr">
        <is>
          <t xml:space="preserve">  const status    = data[COL_STATUS - 1];</t>
        </is>
      </c>
      <c r="C224" s="83" t="n"/>
    </row>
    <row r="225" ht="12.75" customHeight="1" s="82">
      <c r="A225" s="83" t="n"/>
      <c r="B225" s="162" t="inlineStr">
        <is>
          <t xml:space="preserve">  const notes     = data[COL_NOTES - 1];</t>
        </is>
      </c>
      <c r="C225" s="83" t="n"/>
    </row>
    <row r="226" ht="12.75" customHeight="1" s="82">
      <c r="A226" s="83" t="n"/>
      <c r="B226" s="161" t="n"/>
      <c r="C226" s="83" t="n"/>
    </row>
    <row r="227" ht="12.75" customHeight="1" s="82">
      <c r="A227" s="83" t="n"/>
      <c r="B227" s="162" t="inlineStr">
        <is>
          <t xml:space="preserve">  if (!client || client.toString().trim() === '') return;</t>
        </is>
      </c>
      <c r="C227" s="83" t="n"/>
    </row>
    <row r="228" ht="12.75" customHeight="1" s="82">
      <c r="A228" s="83" t="n"/>
      <c r="B228" s="161" t="n"/>
      <c r="C228" s="83" t="n"/>
    </row>
    <row r="229" ht="12.75" customHeight="1" s="82">
      <c r="A229" s="83" t="n"/>
      <c r="B229" s="162" t="inlineStr">
        <is>
          <t xml:space="preserve">  const cal = getOrCreateCalendar();</t>
        </is>
      </c>
      <c r="C229" s="83" t="n"/>
    </row>
    <row r="230" ht="12.75" customHeight="1" s="82">
      <c r="A230" s="83" t="n"/>
      <c r="B230" s="161" t="inlineStr">
        <is>
          <t xml:space="preserve">  const title = 'Policy Renewal – ' + client;</t>
        </is>
      </c>
      <c r="C230" s="83" t="n"/>
    </row>
    <row r="231" ht="12.75" customHeight="1" s="82">
      <c r="A231" s="83" t="n"/>
      <c r="B231" s="162" t="n"/>
      <c r="C231" s="83" t="n"/>
    </row>
    <row r="232" ht="12.75" customHeight="1" s="82">
      <c r="A232" s="83" t="n"/>
      <c r="B232" s="161" t="inlineStr">
        <is>
          <t xml:space="preserve">  if (!due) return;</t>
        </is>
      </c>
      <c r="C232" s="83" t="n"/>
    </row>
    <row r="233" ht="12.75" customHeight="1" s="82">
      <c r="A233" s="83" t="n"/>
      <c r="B233" s="162" t="inlineStr">
        <is>
          <t xml:space="preserve">  const dueYmd = extractCalendarDate(due);</t>
        </is>
      </c>
      <c r="C233" s="83" t="n"/>
    </row>
    <row r="234" ht="12.75" customHeight="1" s="82">
      <c r="A234" s="83" t="n"/>
      <c r="B234" s="161" t="inlineStr">
        <is>
          <t xml:space="preserve">  if (!dueYmd) return;</t>
        </is>
      </c>
      <c r="C234" s="83" t="n"/>
    </row>
    <row r="235" ht="12.75" customHeight="1" s="82">
      <c r="A235" s="83" t="n"/>
      <c r="B235" s="162" t="inlineStr">
        <is>
          <t xml:space="preserve">  const dueDate = new Date(dueYmd.y, dueYmd.m - 1, dueYmd.d, 9, 0, 0);</t>
        </is>
      </c>
      <c r="C235" s="83" t="n"/>
    </row>
    <row r="236" ht="12.75" customHeight="1" s="82">
      <c r="A236" s="83" t="n"/>
      <c r="B236" s="161" t="inlineStr">
        <is>
          <t xml:space="preserve">  const existing = cal.getEventsForDay(dueDate).filter(ev =&gt; ev.getTitle() === title);</t>
        </is>
      </c>
      <c r="C236" s="83" t="n"/>
    </row>
    <row r="237" ht="12.75" customHeight="1" s="82">
      <c r="A237" s="83" t="n"/>
      <c r="B237" s="162" t="n"/>
      <c r="C237" s="83" t="n"/>
    </row>
    <row r="238" ht="12.75" customHeight="1" s="82">
      <c r="A238" s="83" t="n"/>
      <c r="B238" s="161" t="inlineStr">
        <is>
          <t xml:space="preserve">  if (status === 'Renewed') {</t>
        </is>
      </c>
      <c r="C238" s="83" t="n"/>
    </row>
    <row r="239" ht="12.75" customHeight="1" s="82">
      <c r="A239" s="83" t="n"/>
      <c r="B239" s="162" t="inlineStr">
        <is>
          <t xml:space="preserve">    existing.forEach(ev =&gt; ev.deleteEvent());</t>
        </is>
      </c>
      <c r="C239" s="83" t="n"/>
    </row>
    <row r="240" ht="12.75" customHeight="1" s="82">
      <c r="A240" s="83" t="n"/>
      <c r="B240" s="161" t="inlineStr">
        <is>
          <t xml:space="preserve">    logActivity(policyId, 'Calendar event removed', 'Policy marked Renewed');</t>
        </is>
      </c>
      <c r="C240" s="83" t="n"/>
    </row>
    <row r="241" ht="12.75" customHeight="1" s="82">
      <c r="A241" s="83" t="n"/>
      <c r="B241" s="162" t="inlineStr">
        <is>
          <t xml:space="preserve">    return;</t>
        </is>
      </c>
      <c r="C241" s="83" t="n"/>
    </row>
    <row r="242" ht="12.75" customHeight="1" s="82">
      <c r="A242" s="83" t="n"/>
      <c r="B242" s="161" t="inlineStr">
        <is>
          <t xml:space="preserve">  }</t>
        </is>
      </c>
      <c r="C242" s="83" t="n"/>
    </row>
    <row r="243" ht="12.75" customHeight="1" s="82">
      <c r="A243" s="83" t="n"/>
      <c r="B243" s="162" t="n"/>
      <c r="C243" s="83" t="n"/>
    </row>
    <row r="244" ht="12.75" customHeight="1" s="82">
      <c r="A244" s="83" t="n"/>
      <c r="B244" s="161" t="inlineStr">
        <is>
          <t xml:space="preserve">  const description = [</t>
        </is>
      </c>
      <c r="C244" s="83" t="n"/>
    </row>
    <row r="245" ht="12.75" customHeight="1" s="82">
      <c r="A245" s="83" t="n"/>
      <c r="B245" s="162" t="inlineStr">
        <is>
          <t xml:space="preserve">    'Client: ' + client,</t>
        </is>
      </c>
      <c r="C245" s="83" t="n"/>
    </row>
    <row r="246" ht="12.75" customHeight="1" s="82">
      <c r="A246" s="83" t="n"/>
      <c r="B246" s="161" t="inlineStr">
        <is>
          <t xml:space="preserve">    'Insurance Class: ' + cls,</t>
        </is>
      </c>
      <c r="C246" s="83" t="n"/>
    </row>
    <row r="247" ht="12.75" customHeight="1" s="82">
      <c r="A247" s="83" t="n"/>
      <c r="B247" s="162" t="inlineStr">
        <is>
          <t xml:space="preserve">    'Description: ' + (desc || '-'),</t>
        </is>
      </c>
      <c r="C247" s="83" t="n"/>
    </row>
    <row r="248" ht="12.75" customHeight="1" s="82">
      <c r="A248" s="83" t="n"/>
      <c r="B248" s="161" t="inlineStr">
        <is>
          <t xml:space="preserve">    'Due Date: ' + Utilities.formatDate(dueDate, getTZ(), 'd MMMM yyyy'),</t>
        </is>
      </c>
      <c r="C248" s="83" t="n"/>
    </row>
    <row r="249" ht="12.75" customHeight="1" s="82">
      <c r="A249" s="83" t="n"/>
      <c r="B249" s="162" t="inlineStr">
        <is>
          <t xml:space="preserve">    'Notes: ' + (notes || '-'),</t>
        </is>
      </c>
      <c r="C249" s="83" t="n"/>
    </row>
    <row r="250" ht="12.75" customHeight="1" s="82">
      <c r="A250" s="83" t="n"/>
      <c r="B250" s="161" t="inlineStr">
        <is>
          <t xml:space="preserve">    '',</t>
        </is>
      </c>
      <c r="C250" s="83" t="n"/>
    </row>
    <row r="251" ht="12.75" customHeight="1" s="82">
      <c r="A251" s="83" t="n"/>
      <c r="B251" s="162" t="inlineStr">
        <is>
          <t xml:space="preserve">    'Sheet: ' + SpreadsheetApp.getActiveSpreadsheet().getUrl()</t>
        </is>
      </c>
      <c r="C251" s="83" t="n"/>
    </row>
    <row r="252" ht="12.75" customHeight="1" s="82">
      <c r="A252" s="83" t="n"/>
      <c r="B252" s="161" t="inlineStr">
        <is>
          <t xml:space="preserve">  ].join('\n');</t>
        </is>
      </c>
      <c r="C252" s="83" t="n"/>
    </row>
    <row r="253" ht="12.75" customHeight="1" s="82">
      <c r="A253" s="83" t="n"/>
      <c r="B253" s="162" t="n"/>
      <c r="C253" s="83" t="n"/>
    </row>
    <row r="254" ht="12.75" customHeight="1" s="82">
      <c r="A254" s="83" t="n"/>
      <c r="B254" s="161" t="inlineStr">
        <is>
          <t xml:space="preserve">  const today = getTodayCanonical();</t>
        </is>
      </c>
      <c r="C254" s="83" t="n"/>
    </row>
    <row r="255" ht="12.75" customHeight="1" s="82">
      <c r="A255" s="83" t="n"/>
      <c r="B255" s="162" t="inlineStr">
        <is>
          <t xml:space="preserve">  const daysLeft = Math.round((dueDate - today) / 86400000);</t>
        </is>
      </c>
      <c r="C255" s="83" t="n"/>
    </row>
    <row r="256" ht="12.75" customHeight="1" s="82">
      <c r="A256" s="83" t="n"/>
      <c r="B256" s="161" t="inlineStr">
        <is>
          <t xml:space="preserve">  const eventColor = daysLeft &lt; 0 ? CalendarApp.EventColor.RED</t>
        </is>
      </c>
      <c r="C256" s="83" t="n"/>
    </row>
    <row r="257" ht="12.75" customHeight="1" s="82">
      <c r="A257" s="83" t="n"/>
      <c r="B257" s="162" t="inlineStr">
        <is>
          <t xml:space="preserve">                    : (daysLeft &lt;= 7 ? CalendarApp.EventColor.ORANGE</t>
        </is>
      </c>
      <c r="C257" s="83" t="n"/>
    </row>
    <row r="258" ht="12.75" customHeight="1" s="82">
      <c r="A258" s="83" t="n"/>
      <c r="B258" s="161" t="inlineStr">
        <is>
          <t xml:space="preserve">                    : CalendarApp.EventColor.YELLOW);</t>
        </is>
      </c>
      <c r="C258" s="83" t="n"/>
    </row>
    <row r="259" ht="12.75" customHeight="1" s="82">
      <c r="A259" s="83" t="n"/>
      <c r="B259" s="162" t="n"/>
      <c r="C259" s="83" t="n"/>
    </row>
    <row r="260" ht="12.75" customHeight="1" s="82">
      <c r="A260" s="83" t="n"/>
      <c r="B260" s="161" t="inlineStr">
        <is>
          <t xml:space="preserve">  if (existing.length === 0) {</t>
        </is>
      </c>
      <c r="C260" s="83" t="n"/>
    </row>
    <row r="261" ht="12.75" customHeight="1" s="82">
      <c r="A261" s="83" t="n"/>
      <c r="B261" s="162" t="inlineStr">
        <is>
          <t xml:space="preserve">    const end = new Date(dueDate); end.setHours(10, 0, 0, 0);</t>
        </is>
      </c>
      <c r="C261" s="83" t="n"/>
    </row>
    <row r="262" ht="12.75" customHeight="1" s="82">
      <c r="A262" s="83" t="n"/>
      <c r="B262" s="161" t="inlineStr">
        <is>
          <t xml:space="preserve">    const ev = cal.createEvent(title, dueDate, end, { description: description });</t>
        </is>
      </c>
      <c r="C262" s="83" t="n"/>
    </row>
    <row r="263" ht="12.75" customHeight="1" s="82">
      <c r="A263" s="83" t="n"/>
      <c r="B263" s="162" t="inlineStr">
        <is>
          <t xml:space="preserve">    ev.addPopupReminder(60 * 24);</t>
        </is>
      </c>
      <c r="C263" s="83" t="n"/>
    </row>
    <row r="264" ht="12.75" customHeight="1" s="82">
      <c r="A264" s="83" t="n"/>
      <c r="B264" s="161" t="inlineStr">
        <is>
          <t xml:space="preserve">    ev.addPopupReminder(60);</t>
        </is>
      </c>
      <c r="C264" s="83" t="n"/>
    </row>
    <row r="265" ht="12.75" customHeight="1" s="82">
      <c r="A265" s="83" t="n"/>
      <c r="B265" s="162" t="inlineStr">
        <is>
          <t xml:space="preserve">    ev.setColor(eventColor);</t>
        </is>
      </c>
      <c r="C265" s="83" t="n"/>
    </row>
    <row r="266" ht="12.75" customHeight="1" s="82">
      <c r="A266" s="83" t="n"/>
      <c r="B266" s="161" t="inlineStr">
        <is>
          <t xml:space="preserve">    logActivity(policyId, 'Calendar event created', 'Due ' + Utilities.formatDate(dueDate, getTZ(), 'd MMM yyyy'));</t>
        </is>
      </c>
      <c r="C266" s="83" t="n"/>
    </row>
    <row r="267" ht="12.75" customHeight="1" s="82">
      <c r="A267" s="83" t="n"/>
      <c r="B267" s="162" t="inlineStr">
        <is>
          <t xml:space="preserve">  } else {</t>
        </is>
      </c>
      <c r="C267" s="83" t="n"/>
    </row>
    <row r="268" ht="12.75" customHeight="1" s="82">
      <c r="A268" s="83" t="n"/>
      <c r="B268" s="161" t="inlineStr">
        <is>
          <t xml:space="preserve">    existing[0].setDescription(description);</t>
        </is>
      </c>
      <c r="C268" s="83" t="n"/>
    </row>
    <row r="269" ht="12.75" customHeight="1" s="82">
      <c r="A269" s="83" t="n"/>
      <c r="B269" s="162" t="inlineStr">
        <is>
          <t xml:space="preserve">    existing[0].setColor(eventColor);</t>
        </is>
      </c>
      <c r="C269" s="83" t="n"/>
    </row>
    <row r="270" ht="12.75" customHeight="1" s="82">
      <c r="A270" s="83" t="n"/>
      <c r="B270" s="161" t="inlineStr">
        <is>
          <t xml:space="preserve">    if (existing[0].getStartTime().getTime() !== dueDate.getTime()) {</t>
        </is>
      </c>
      <c r="C270" s="83" t="n"/>
    </row>
    <row r="271" ht="12.75" customHeight="1" s="82">
      <c r="A271" s="83" t="n"/>
      <c r="B271" s="162" t="inlineStr">
        <is>
          <t xml:space="preserve">      const end = new Date(dueDate); end.setHours(10, 0, 0, 0);</t>
        </is>
      </c>
      <c r="C271" s="83" t="n"/>
    </row>
    <row r="272" ht="12.75" customHeight="1" s="82">
      <c r="A272" s="83" t="n"/>
      <c r="B272" s="161" t="inlineStr">
        <is>
          <t xml:space="preserve">      existing[0].setTime(dueDate, end);</t>
        </is>
      </c>
      <c r="C272" s="83" t="n"/>
    </row>
    <row r="273" ht="12.75" customHeight="1" s="82">
      <c r="A273" s="83" t="n"/>
      <c r="B273" s="162" t="inlineStr">
        <is>
          <t xml:space="preserve">    }</t>
        </is>
      </c>
      <c r="C273" s="83" t="n"/>
    </row>
    <row r="274" ht="12.75" customHeight="1" s="82">
      <c r="A274" s="83" t="n"/>
      <c r="B274" s="161" t="inlineStr">
        <is>
          <t xml:space="preserve">    logActivity(policyId, 'Calendar event updated', 'Due date or details changed');</t>
        </is>
      </c>
      <c r="C274" s="83" t="n"/>
    </row>
    <row r="275" ht="12.75" customHeight="1" s="82">
      <c r="A275" s="83" t="n"/>
      <c r="B275" s="162" t="inlineStr">
        <is>
          <t xml:space="preserve">  }</t>
        </is>
      </c>
      <c r="C275" s="83" t="n"/>
    </row>
    <row r="276" ht="12.75" customHeight="1" s="82">
      <c r="A276" s="83" t="n"/>
      <c r="B276" s="161" t="inlineStr">
        <is>
          <t>}</t>
        </is>
      </c>
      <c r="C276" s="83" t="n"/>
    </row>
    <row r="277" ht="12.75" customHeight="1" s="82">
      <c r="A277" s="83" t="n"/>
      <c r="B277" s="162" t="n"/>
      <c r="C277" s="83" t="n"/>
    </row>
    <row r="278" ht="12.75" customHeight="1" s="82">
      <c r="A278" s="83" t="n"/>
      <c r="B278" s="161" t="inlineStr">
        <is>
          <t>function getOrCreateCalendar() {</t>
        </is>
      </c>
      <c r="C278" s="83" t="n"/>
    </row>
    <row r="279" ht="12.75" customHeight="1" s="82">
      <c r="A279" s="83" t="n"/>
      <c r="B279" s="162" t="inlineStr">
        <is>
          <t xml:space="preserve">  const calList = CalendarApp.getCalendarsByName(CAL_NAME);</t>
        </is>
      </c>
      <c r="C279" s="83" t="n"/>
    </row>
    <row r="280" ht="12.75" customHeight="1" s="82">
      <c r="A280" s="83" t="n"/>
      <c r="B280" s="161" t="inlineStr">
        <is>
          <t xml:space="preserve">  return calList.length &gt; 0 ? calList[0] : CalendarApp.createCalendar(CAL_NAME, { color: CalendarApp.Color.CHERRY_BLOSSOM });</t>
        </is>
      </c>
      <c r="C280" s="83" t="n"/>
    </row>
    <row r="281" ht="15" customHeight="1" s="82">
      <c r="A281" s="83" t="n"/>
      <c r="B281" s="163" t="inlineStr">
        <is>
          <t>}</t>
        </is>
      </c>
      <c r="C281" s="83" t="n"/>
    </row>
    <row r="282" ht="15" customHeight="1" s="82">
      <c r="A282" s="83" t="n"/>
      <c r="B282" s="163" t="n"/>
      <c r="C282" s="83" t="n"/>
    </row>
    <row r="283" ht="15" customHeight="1" s="82">
      <c r="A283" s="83" t="n"/>
      <c r="B283" s="163" t="inlineStr">
        <is>
          <t>// ── BULK SYNC: run manually any time to reconcile everything ─────</t>
        </is>
      </c>
      <c r="C283" s="83" t="n"/>
    </row>
    <row r="284" ht="15" customHeight="1" s="82">
      <c r="A284" s="83" t="n"/>
      <c r="B284" s="163" t="inlineStr">
        <is>
          <t>function syncAllPoliciesToCalendar() {</t>
        </is>
      </c>
      <c r="C284" s="83" t="n"/>
    </row>
    <row r="285" ht="15" customHeight="1" s="82">
      <c r="A285" s="83" t="n"/>
      <c r="B285" s="163" t="inlineStr">
        <is>
          <t xml:space="preserve">  const result = syncAllPoliciesToCalendarSilent();</t>
        </is>
      </c>
      <c r="C285" s="83" t="n"/>
    </row>
    <row r="286" ht="15" customHeight="1" s="82">
      <c r="A286" s="83" t="n"/>
      <c r="B286" s="163" t="inlineStr">
        <is>
          <t xml:space="preserve">  const ui = SpreadsheetApp.getUi();</t>
        </is>
      </c>
      <c r="C286" s="83" t="n"/>
    </row>
    <row r="287" ht="15" customHeight="1" s="82">
      <c r="A287" s="83" t="n"/>
      <c r="B287" s="163" t="inlineStr">
        <is>
          <t xml:space="preserve">  if (ui) ui.alert('✓ Sync complete. ' + result.synced + ' polic' + (result.synced === 1 ? 'y' : 'ies') + ' checked against the calendar.');</t>
        </is>
      </c>
      <c r="C287" s="83" t="n"/>
    </row>
    <row r="288" ht="15" customHeight="1" s="82">
      <c r="A288" s="83" t="n"/>
      <c r="B288" s="163" t="inlineStr">
        <is>
          <t>}</t>
        </is>
      </c>
      <c r="C288" s="83" t="n"/>
    </row>
    <row r="289" ht="15" customHeight="1" s="82">
      <c r="A289" s="83" t="n"/>
      <c r="B289" s="163" t="n"/>
      <c r="C289" s="83" t="n"/>
    </row>
    <row r="290" ht="15" customHeight="1" s="82">
      <c r="A290" s="83" t="n"/>
      <c r="B290" s="163" t="inlineStr">
        <is>
          <t>function syncAllPoliciesToCalendarSilent() {</t>
        </is>
      </c>
      <c r="C290" s="83" t="n"/>
    </row>
    <row r="291" ht="15" customHeight="1" s="82">
      <c r="A291" s="83" t="n"/>
      <c r="B291" s="163" t="inlineStr">
        <is>
          <t xml:space="preserve">  const sheet = SpreadsheetApp.getActiveSpreadsheet().getSheetByName(SHEET_NAME);</t>
        </is>
      </c>
      <c r="C291" s="83" t="n"/>
    </row>
    <row r="292" ht="15" customHeight="1" s="82">
      <c r="A292" s="83" t="n"/>
      <c r="B292" s="163" t="inlineStr">
        <is>
          <t xml:space="preserve">  const data  = sheet.getRange(FIRST_ROW, 1, LAST_ROW - FIRST_ROW + 1, 10).getValues();</t>
        </is>
      </c>
      <c r="C292" s="83" t="n"/>
    </row>
    <row r="293" ht="15" customHeight="1" s="82">
      <c r="A293" s="83" t="n"/>
      <c r="B293" s="163" t="inlineStr">
        <is>
          <t xml:space="preserve">  let synced = 0;</t>
        </is>
      </c>
      <c r="C293" s="83" t="n"/>
    </row>
    <row r="294" ht="15" customHeight="1" s="82">
      <c r="A294" s="83" t="n"/>
      <c r="B294" s="163" t="inlineStr">
        <is>
          <t xml:space="preserve">  for (let i = 0; i &lt; data.length; i++) {</t>
        </is>
      </c>
      <c r="C294" s="83" t="n"/>
    </row>
    <row r="295" ht="15" customHeight="1" s="82">
      <c r="A295" s="83" t="n"/>
      <c r="B295" s="163" t="inlineStr">
        <is>
          <t xml:space="preserve">    const client = data[i][COL_CLIENT - 1];</t>
        </is>
      </c>
      <c r="C295" s="83" t="n"/>
    </row>
    <row r="296" ht="15" customHeight="1" s="82">
      <c r="A296" s="83" t="n"/>
      <c r="B296" s="163" t="inlineStr">
        <is>
          <t xml:space="preserve">    if (!client || client.toString().trim() === '') continue;</t>
        </is>
      </c>
      <c r="C296" s="83" t="n"/>
    </row>
    <row r="297" ht="15" customHeight="1" s="82">
      <c r="A297" s="83" t="n"/>
      <c r="B297" s="163" t="inlineStr">
        <is>
          <t xml:space="preserve">    syncPolicyToCalendar(FIRST_ROW + i);</t>
        </is>
      </c>
      <c r="C297" s="83" t="n"/>
    </row>
    <row r="298" ht="15" customHeight="1" s="82">
      <c r="A298" s="83" t="n"/>
      <c r="B298" s="163" t="inlineStr">
        <is>
          <t xml:space="preserve">    synced++;</t>
        </is>
      </c>
      <c r="C298" s="83" t="n"/>
    </row>
    <row r="299" ht="15" customHeight="1" s="82">
      <c r="A299" s="83" t="n"/>
      <c r="B299" s="163" t="inlineStr">
        <is>
          <t xml:space="preserve">  }</t>
        </is>
      </c>
      <c r="C299" s="83" t="n"/>
    </row>
    <row r="300" ht="15" customHeight="1" s="82">
      <c r="A300" s="83" t="n"/>
      <c r="B300" s="163" t="inlineStr">
        <is>
          <t xml:space="preserve">  return { synced: synced };</t>
        </is>
      </c>
      <c r="C300" s="83" t="n"/>
    </row>
    <row r="301" ht="15" customHeight="1" s="82">
      <c r="A301" s="83" t="n"/>
      <c r="B301" s="163" t="inlineStr">
        <is>
          <t>}</t>
        </is>
      </c>
      <c r="C301" s="83" t="n"/>
    </row>
    <row r="302" ht="15" customHeight="1" s="82">
      <c r="A302" s="83" t="n"/>
      <c r="B302" s="163" t="n"/>
      <c r="C302" s="83" t="n"/>
    </row>
    <row r="303" ht="15" customHeight="1" s="82">
      <c r="A303" s="83" t="n"/>
      <c r="B303" s="163" t="inlineStr">
        <is>
          <t>// ── Read every open (not renewed) policy once, shared by digest,</t>
        </is>
      </c>
      <c r="C303" s="83" t="n"/>
    </row>
    <row r="304" ht="15" customHeight="1" s="82">
      <c r="A304" s="83" t="n"/>
      <c r="B304" s="163" t="inlineStr">
        <is>
          <t>//    weekly summary, and milestone check. ────────────────────────</t>
        </is>
      </c>
      <c r="C304" s="83" t="n"/>
    </row>
    <row r="305" ht="15" customHeight="1" s="82">
      <c r="A305" s="83" t="n"/>
      <c r="B305" s="163" t="inlineStr">
        <is>
          <t>function getOpenPolicies() {</t>
        </is>
      </c>
      <c r="C305" s="83" t="n"/>
    </row>
    <row r="306" ht="15" customHeight="1" s="82">
      <c r="A306" s="83" t="n"/>
      <c r="B306" s="163" t="inlineStr">
        <is>
          <t xml:space="preserve">  const sheet = SpreadsheetApp.getActiveSpreadsheet().getSheetByName(SHEET_NAME);</t>
        </is>
      </c>
      <c r="C306" s="83" t="n"/>
    </row>
    <row r="307" ht="15" customHeight="1" s="82">
      <c r="A307" s="83" t="n"/>
      <c r="B307" s="163" t="inlineStr">
        <is>
          <t xml:space="preserve">  const data  = sheet.getRange(FIRST_ROW, 1, LAST_ROW - FIRST_ROW + 1, 16).getValues();</t>
        </is>
      </c>
      <c r="C307" s="83" t="n"/>
    </row>
    <row r="308" ht="15" customHeight="1" s="82">
      <c r="A308" s="83" t="n"/>
      <c r="B308" s="163" t="inlineStr">
        <is>
          <t xml:space="preserve">  const today = getTodayCanonical();</t>
        </is>
      </c>
      <c r="C308" s="83" t="n"/>
    </row>
    <row r="309" ht="15" customHeight="1" s="82">
      <c r="A309" s="83" t="n"/>
      <c r="B309" s="163" t="inlineStr">
        <is>
          <t xml:space="preserve">  const rows = [];</t>
        </is>
      </c>
      <c r="C309" s="83" t="n"/>
    </row>
    <row r="310" ht="15" customHeight="1" s="82">
      <c r="A310" s="83" t="n"/>
      <c r="B310" s="163" t="n"/>
      <c r="C310" s="83" t="n"/>
    </row>
    <row r="311" ht="15" customHeight="1" s="82">
      <c r="A311" s="83" t="n"/>
      <c r="B311" s="163" t="inlineStr">
        <is>
          <t xml:space="preserve">  data.forEach((r, i) =&gt; {</t>
        </is>
      </c>
      <c r="C311" s="83" t="n"/>
    </row>
    <row r="312" ht="15" customHeight="1" s="82">
      <c r="A312" s="83" t="n"/>
      <c r="B312" s="163" t="inlineStr">
        <is>
          <t xml:space="preserve">    const client = r[COL_CLIENT - 1];</t>
        </is>
      </c>
      <c r="C312" s="83" t="n"/>
    </row>
    <row r="313" ht="15" customHeight="1" s="82">
      <c r="A313" s="83" t="n"/>
      <c r="B313" s="163" t="inlineStr">
        <is>
          <t xml:space="preserve">    if (!client || client.toString().trim() === '') return;</t>
        </is>
      </c>
      <c r="C313" s="83" t="n"/>
    </row>
    <row r="314" ht="15" customHeight="1" s="82">
      <c r="A314" s="83" t="n"/>
      <c r="B314" s="163" t="inlineStr">
        <is>
          <t xml:space="preserve">    if (r[COL_STATUS - 1] === 'Renewed') return;</t>
        </is>
      </c>
      <c r="C314" s="83" t="n"/>
    </row>
    <row r="315" ht="15" customHeight="1" s="82">
      <c r="A315" s="83" t="n"/>
      <c r="B315" s="163" t="inlineStr">
        <is>
          <t xml:space="preserve">    const due = r[COL_DUE - 1];</t>
        </is>
      </c>
      <c r="C315" s="83" t="n"/>
    </row>
    <row r="316" ht="15" customHeight="1" s="82">
      <c r="A316" s="83" t="n"/>
      <c r="B316" s="163" t="inlineStr">
        <is>
          <t xml:space="preserve">    if (!due) return;</t>
        </is>
      </c>
      <c r="C316" s="83" t="n"/>
    </row>
    <row r="317" ht="15" customHeight="1" s="82">
      <c r="A317" s="83" t="n"/>
      <c r="B317" s="163" t="inlineStr">
        <is>
          <t xml:space="preserve">    const dueYmd = extractCalendarDate(due);</t>
        </is>
      </c>
      <c r="C317" s="83" t="n"/>
    </row>
    <row r="318" ht="15" customHeight="1" s="82">
      <c r="A318" s="83" t="n"/>
      <c r="B318" s="163" t="inlineStr">
        <is>
          <t xml:space="preserve">    if (!dueYmd) return;</t>
        </is>
      </c>
      <c r="C318" s="83" t="n"/>
    </row>
    <row r="319" ht="15" customHeight="1" s="82">
      <c r="A319" s="83" t="n"/>
      <c r="B319" s="163" t="inlineStr">
        <is>
          <t xml:space="preserve">    const dueDate = canonicalDate(dueYmd.y, dueYmd.m, dueYmd.d);</t>
        </is>
      </c>
      <c r="C319" s="83" t="n"/>
    </row>
    <row r="320" ht="15" customHeight="1" s="82">
      <c r="A320" s="83" t="n"/>
      <c r="B320" s="163" t="inlineStr">
        <is>
          <t xml:space="preserve">    const daysLeft = Math.round((dueDate - today) / 86400000);</t>
        </is>
      </c>
      <c r="C320" s="83" t="n"/>
    </row>
    <row r="321" ht="15" customHeight="1" s="82">
      <c r="A321" s="83" t="n"/>
      <c r="B321" s="163" t="inlineStr">
        <is>
          <t xml:space="preserve">    rows.push({</t>
        </is>
      </c>
      <c r="C321" s="83" t="n"/>
    </row>
    <row r="322" ht="15" customHeight="1" s="82">
      <c r="A322" s="83" t="n"/>
      <c r="B322" s="163" t="inlineStr">
        <is>
          <t xml:space="preserve">      row: FIRST_ROW + i,</t>
        </is>
      </c>
      <c r="C322" s="83" t="n"/>
    </row>
    <row r="323" ht="15" customHeight="1" s="82">
      <c r="A323" s="83" t="n"/>
      <c r="B323" s="163" t="inlineStr">
        <is>
          <t xml:space="preserve">      id: r[COL_ID - 1],</t>
        </is>
      </c>
      <c r="C323" s="83" t="n"/>
    </row>
    <row r="324" ht="15" customHeight="1" s="82">
      <c r="A324" s="83" t="n"/>
      <c r="B324" s="163" t="inlineStr">
        <is>
          <t xml:space="preserve">      client: client,</t>
        </is>
      </c>
      <c r="C324" s="83" t="n"/>
    </row>
    <row r="325" ht="15" customHeight="1" s="82">
      <c r="A325" s="83" t="n"/>
      <c r="B325" s="163" t="inlineStr">
        <is>
          <t xml:space="preserve">      cls: r[COL_CLASS - 1],</t>
        </is>
      </c>
      <c r="C325" s="83" t="n"/>
    </row>
    <row r="326" ht="15" customHeight="1" s="82">
      <c r="A326" s="83" t="n"/>
      <c r="B326" s="163" t="inlineStr">
        <is>
          <t xml:space="preserve">      desc: r[COL_DESC - 1],</t>
        </is>
      </c>
      <c r="C326" s="83" t="n"/>
    </row>
    <row r="327" ht="15" customHeight="1" s="82">
      <c r="A327" s="83" t="n"/>
      <c r="B327" s="163" t="inlineStr">
        <is>
          <t xml:space="preserve">      due: dueDate,</t>
        </is>
      </c>
      <c r="C327" s="83" t="n"/>
    </row>
    <row r="328" ht="15" customHeight="1" s="82">
      <c r="A328" s="83" t="n"/>
      <c r="B328" s="163" t="inlineStr">
        <is>
          <t xml:space="preserve">      daysLeft: daysLeft,</t>
        </is>
      </c>
      <c r="C328" s="83" t="n"/>
    </row>
    <row r="329" ht="15" customHeight="1" s="82">
      <c r="A329" s="83" t="n"/>
      <c r="B329" s="163" t="inlineStr">
        <is>
          <t xml:space="preserve">      email: r[COL_EMAIL - 1],</t>
        </is>
      </c>
      <c r="C329" s="83" t="n"/>
    </row>
    <row r="330" ht="15" customHeight="1" s="82">
      <c r="A330" s="83" t="n"/>
      <c r="B330" s="163" t="inlineStr">
        <is>
          <t xml:space="preserve">      lastMilestone: r[COL_MILESTONE - 1]</t>
        </is>
      </c>
      <c r="C330" s="83" t="n"/>
    </row>
    <row r="331" ht="15" customHeight="1" s="82">
      <c r="A331" s="83" t="n"/>
      <c r="B331" s="163" t="inlineStr">
        <is>
          <t xml:space="preserve">    });</t>
        </is>
      </c>
      <c r="C331" s="83" t="n"/>
    </row>
    <row r="332" ht="15" customHeight="1" s="82">
      <c r="A332" s="83" t="n"/>
      <c r="B332" s="163" t="inlineStr">
        <is>
          <t xml:space="preserve">  });</t>
        </is>
      </c>
      <c r="C332" s="83" t="n"/>
    </row>
    <row r="333" ht="15" customHeight="1" s="82">
      <c r="A333" s="83" t="n"/>
      <c r="B333" s="163" t="inlineStr">
        <is>
          <t xml:space="preserve">  return rows;</t>
        </is>
      </c>
      <c r="C333" s="83" t="n"/>
    </row>
    <row r="334" ht="15" customHeight="1" s="82">
      <c r="A334" s="83" t="n"/>
      <c r="B334" s="163" t="inlineStr">
        <is>
          <t>}</t>
        </is>
      </c>
      <c r="C334" s="83" t="n"/>
    </row>
    <row r="335" ht="15" customHeight="1" s="82">
      <c r="A335" s="83" t="n"/>
      <c r="B335" s="163" t="n"/>
      <c r="C335" s="83" t="n"/>
    </row>
    <row r="336" ht="15" customHeight="1" s="82">
      <c r="A336" s="83" t="n"/>
      <c r="B336" s="163" t="inlineStr">
        <is>
          <t>function resolveTeamInbox() {</t>
        </is>
      </c>
      <c r="C336" s="83" t="n"/>
    </row>
    <row r="337" ht="15" customHeight="1" s="82">
      <c r="A337" s="83" t="n"/>
      <c r="B337" s="163" t="inlineStr">
        <is>
          <t xml:space="preserve">  return (TEAM_INBOX &amp;&amp; TEAM_INBOX.trim() !== '') ? TEAM_INBOX.trim() : Session.getActiveUser().getEmail();</t>
        </is>
      </c>
      <c r="C337" s="83" t="n"/>
    </row>
    <row r="338" ht="15" customHeight="1" s="82">
      <c r="A338" s="83" t="n"/>
      <c r="B338" s="163" t="inlineStr">
        <is>
          <t>}</t>
        </is>
      </c>
      <c r="C338" s="83" t="n"/>
    </row>
    <row r="339" ht="15" customHeight="1" s="82">
      <c r="A339" s="83" t="n"/>
      <c r="B339" s="163" t="n"/>
      <c r="C339" s="83" t="n"/>
    </row>
    <row r="340" ht="15" customHeight="1" s="82">
      <c r="A340" s="83" t="n"/>
      <c r="B340" s="163" t="inlineStr">
        <is>
          <t>// ── DAILY DIGEST — short glance, team inbox ───────────────────────</t>
        </is>
      </c>
      <c r="C340" s="83" t="n"/>
    </row>
    <row r="341" ht="15" customHeight="1" s="82">
      <c r="A341" s="83" t="n"/>
      <c r="B341" s="163" t="inlineStr">
        <is>
          <t>function sendDailyDigest() {</t>
        </is>
      </c>
      <c r="C341" s="83" t="n"/>
    </row>
    <row r="342" ht="15" customHeight="1" s="82">
      <c r="A342" s="83" t="n"/>
      <c r="B342" s="163" t="inlineStr">
        <is>
          <t xml:space="preserve">  const policies = getOpenPolicies();</t>
        </is>
      </c>
      <c r="C342" s="83" t="n"/>
    </row>
    <row r="343" ht="15" customHeight="1" s="82">
      <c r="A343" s="83" t="n"/>
      <c r="B343" s="163" t="inlineStr">
        <is>
          <t xml:space="preserve">  const dueToday = policies.filter(p =&gt; p.daysLeft === 0);</t>
        </is>
      </c>
      <c r="C343" s="83" t="n"/>
    </row>
    <row r="344" ht="15" customHeight="1" s="82">
      <c r="A344" s="83" t="n"/>
      <c r="B344" s="163" t="inlineStr">
        <is>
          <t xml:space="preserve">  const overdue  = policies.filter(p =&gt; p.daysLeft &lt; 0);</t>
        </is>
      </c>
      <c r="C344" s="83" t="n"/>
    </row>
    <row r="345" ht="15" customHeight="1" s="82">
      <c r="A345" s="83" t="n"/>
      <c r="B345" s="163" t="inlineStr">
        <is>
          <t xml:space="preserve">  const upcoming = policies.filter(p =&gt; p.daysLeft &gt; 0).sort((a, b) =&gt; a.daysLeft - b.daysLeft).slice(0, 5);</t>
        </is>
      </c>
      <c r="C345" s="83" t="n"/>
    </row>
    <row r="346" ht="15" customHeight="1" s="82">
      <c r="A346" s="83" t="n"/>
      <c r="B346" s="163" t="n"/>
      <c r="C346" s="83" t="n"/>
    </row>
    <row r="347" ht="15" customHeight="1" s="82">
      <c r="A347" s="83" t="n"/>
      <c r="B347" s="163" t="inlineStr">
        <is>
          <t xml:space="preserve">  const to = resolveTeamInbox();</t>
        </is>
      </c>
      <c r="C347" s="83" t="n"/>
    </row>
    <row r="348" ht="15" customHeight="1" s="82">
      <c r="A348" s="83" t="n"/>
      <c r="B348" s="163" t="inlineStr">
        <is>
          <t xml:space="preserve">  let body = statChips(dueToday.length, overdue.length, upcoming.length);</t>
        </is>
      </c>
      <c r="C348" s="83" t="n"/>
    </row>
    <row r="349" ht="15" customHeight="1" s="82">
      <c r="A349" s="83" t="n"/>
      <c r="B349" s="163" t="inlineStr">
        <is>
          <t xml:space="preserve">  if (dueToday.length) body += sectionCard('Due today', dueToday);</t>
        </is>
      </c>
      <c r="C349" s="83" t="n"/>
    </row>
    <row r="350" ht="15" customHeight="1" s="82">
      <c r="A350" s="83" t="n"/>
      <c r="B350" s="163" t="inlineStr">
        <is>
          <t xml:space="preserve">  if (upcoming.length) body += sectionCard('Next 5 coming up', upcoming);</t>
        </is>
      </c>
      <c r="C350" s="83" t="n"/>
    </row>
    <row r="351" ht="15" customHeight="1" s="82">
      <c r="A351" s="83" t="n"/>
      <c r="B351" s="163" t="inlineStr">
        <is>
          <t xml:space="preserve">  if (!dueToday.length &amp;&amp; !upcoming.length) body += emptyState('Nothing due today or in the days just ahead. 🎉');</t>
        </is>
      </c>
      <c r="C351" s="83" t="n"/>
    </row>
    <row r="352" ht="15" customHeight="1" s="82">
      <c r="A352" s="83" t="n"/>
      <c r="B352" s="163" t="n"/>
      <c r="C352" s="83" t="n"/>
    </row>
    <row r="353" ht="15" customHeight="1" s="82">
      <c r="A353" s="83" t="n"/>
      <c r="B353" s="163" t="inlineStr">
        <is>
          <t xml:space="preserve">  MailApp.sendEmail({</t>
        </is>
      </c>
      <c r="C353" s="83" t="n"/>
    </row>
    <row r="354" ht="15" customHeight="1" s="82">
      <c r="A354" s="83" t="n"/>
      <c r="B354" s="163" t="inlineStr">
        <is>
          <t xml:space="preserve">    to: to,</t>
        </is>
      </c>
      <c r="C354" s="83" t="n"/>
    </row>
    <row r="355" ht="15" customHeight="1" s="82">
      <c r="A355" s="83" t="n"/>
      <c r="B355" s="163" t="inlineStr">
        <is>
          <t xml:space="preserve">    subject: '☀️ Daily Digest — ' + dueToday.length + ' due today, ' + overdue.length + ' overdue',</t>
        </is>
      </c>
      <c r="C355" s="83" t="n"/>
    </row>
    <row r="356" ht="15" customHeight="1" s="82">
      <c r="A356" s="83" t="n"/>
      <c r="B356" s="163" t="inlineStr">
        <is>
          <t xml:space="preserve">    htmlBody: emailShell({</t>
        </is>
      </c>
      <c r="C356" s="83" t="n"/>
    </row>
    <row r="357" ht="15" customHeight="1" s="82">
      <c r="A357" s="83" t="n"/>
      <c r="B357" s="163" t="inlineStr">
        <is>
          <t xml:space="preserve">      topRight: dueToday.length + ' due today · ' + overdue.length + ' overdue',</t>
        </is>
      </c>
      <c r="C357" s="83" t="n"/>
    </row>
    <row r="358" ht="15" customHeight="1" s="82">
      <c r="A358" s="83" t="n"/>
      <c r="B358" s="163" t="inlineStr">
        <is>
          <t xml:space="preserve">      emoji: '☀️', heading: 'Daily Digest',</t>
        </is>
      </c>
      <c r="C358" s="83" t="n"/>
    </row>
    <row r="359" ht="15" customHeight="1" s="82">
      <c r="A359" s="83" t="n"/>
      <c r="B359" s="163" t="inlineStr">
        <is>
          <t xml:space="preserve">      intro: 'Here is this morning\'s snapshot.',</t>
        </is>
      </c>
      <c r="C359" s="83" t="n"/>
    </row>
    <row r="360" ht="15" customHeight="1" s="82">
      <c r="A360" s="83" t="n"/>
      <c r="B360" s="163" t="inlineStr">
        <is>
          <t xml:space="preserve">      bodyHtml: body, recipientEmail: to,</t>
        </is>
      </c>
      <c r="C360" s="83" t="n"/>
    </row>
    <row r="361" ht="15" customHeight="1" s="82">
      <c r="A361" s="83" t="n"/>
      <c r="B361" s="163" t="inlineStr">
        <is>
          <t xml:space="preserve">      gradientFrom: BRAND.chocolate, gradientTo: BRAND.burgundy,</t>
        </is>
      </c>
      <c r="C361" s="83" t="n"/>
    </row>
    <row r="362" ht="15" customHeight="1" s="82">
      <c r="A362" s="83" t="n"/>
      <c r="B362" s="163" t="inlineStr">
        <is>
          <t xml:space="preserve">      ctaLabel: 'Open Policy Register →', showCta: true</t>
        </is>
      </c>
      <c r="C362" s="83" t="n"/>
    </row>
    <row r="363" ht="15" customHeight="1" s="82">
      <c r="A363" s="83" t="n"/>
      <c r="B363" s="163" t="inlineStr">
        <is>
          <t xml:space="preserve">    })</t>
        </is>
      </c>
      <c r="C363" s="83" t="n"/>
    </row>
    <row r="364" ht="15" customHeight="1" s="82">
      <c r="A364" s="83" t="n"/>
      <c r="B364" s="163" t="inlineStr">
        <is>
          <t xml:space="preserve">  });</t>
        </is>
      </c>
      <c r="C364" s="83" t="n"/>
    </row>
    <row r="365" ht="15" customHeight="1" s="82">
      <c r="A365" s="83" t="n"/>
      <c r="B365" s="163" t="inlineStr">
        <is>
          <t xml:space="preserve">  logActivity('', 'Daily digest sent', dueToday.length + ' due today, ' + overdue.length + ' overdue, ' + upcoming.length + ' upcoming shown');</t>
        </is>
      </c>
      <c r="C365" s="83" t="n"/>
    </row>
    <row r="366" ht="15" customHeight="1" s="82">
      <c r="A366" s="83" t="n"/>
      <c r="B366" s="163" t="inlineStr">
        <is>
          <t>}</t>
        </is>
      </c>
      <c r="C366" s="83" t="n"/>
    </row>
    <row r="367" ht="15" customHeight="1" s="82">
      <c r="A367" s="83" t="n"/>
      <c r="B367" s="163" t="n"/>
      <c r="C367" s="83" t="n"/>
    </row>
    <row r="368" ht="15" customHeight="1" s="82">
      <c r="A368" s="83" t="n"/>
      <c r="B368" s="163" t="inlineStr">
        <is>
          <t>// ── WEEKLY SUMMARY — fuller list, team inbox ──────────────────────</t>
        </is>
      </c>
      <c r="C368" s="83" t="n"/>
    </row>
    <row r="369" ht="15" customHeight="1" s="82">
      <c r="A369" s="83" t="n"/>
      <c r="B369" s="163" t="inlineStr">
        <is>
          <t>function sendWeeklySummary() {</t>
        </is>
      </c>
      <c r="C369" s="83" t="n"/>
    </row>
    <row r="370" ht="15" customHeight="1" s="82">
      <c r="A370" s="83" t="n"/>
      <c r="B370" s="163" t="inlineStr">
        <is>
          <t xml:space="preserve">  const policies = getOpenPolicies();</t>
        </is>
      </c>
      <c r="C370" s="83" t="n"/>
    </row>
    <row r="371" ht="15" customHeight="1" s="82">
      <c r="A371" s="83" t="n"/>
      <c r="B371" s="163" t="inlineStr">
        <is>
          <t xml:space="preserve">  const next30 = policies.filter(p =&gt; p.daysLeft &gt;= 0 &amp;&amp; p.daysLeft &lt;= 30).sort((a, b) =&gt; a.daysLeft - b.daysLeft);</t>
        </is>
      </c>
      <c r="C371" s="83" t="n"/>
    </row>
    <row r="372" ht="15" customHeight="1" s="82">
      <c r="A372" s="83" t="n"/>
      <c r="B372" s="163" t="inlineStr">
        <is>
          <t xml:space="preserve">  const overdue = policies.filter(p =&gt; p.daysLeft &lt; 0).sort((a, b) =&gt; a.daysLeft - b.daysLeft);</t>
        </is>
      </c>
      <c r="C372" s="83" t="n"/>
    </row>
    <row r="373" ht="15" customHeight="1" s="82">
      <c r="A373" s="83" t="n"/>
      <c r="B373" s="163" t="n"/>
      <c r="C373" s="83" t="n"/>
    </row>
    <row r="374" ht="15" customHeight="1" s="82">
      <c r="A374" s="83" t="n"/>
      <c r="B374" s="163" t="inlineStr">
        <is>
          <t xml:space="preserve">  const to = resolveTeamInbox();</t>
        </is>
      </c>
      <c r="C374" s="83" t="n"/>
    </row>
    <row r="375" ht="15" customHeight="1" s="82">
      <c r="A375" s="83" t="n"/>
      <c r="B375" s="163" t="inlineStr">
        <is>
          <t xml:space="preserve">  let body = statChips(policies.filter(p =&gt; p.daysLeft === 0).length, overdue.length, next30.length);</t>
        </is>
      </c>
      <c r="C375" s="83" t="n"/>
    </row>
    <row r="376" ht="15" customHeight="1" s="82">
      <c r="A376" s="83" t="n"/>
      <c r="B376" s="163" t="inlineStr">
        <is>
          <t xml:space="preserve">  if (next30.length) body += sectionCard('Due in the next 30 days', next30);</t>
        </is>
      </c>
      <c r="C376" s="83" t="n"/>
    </row>
    <row r="377" ht="15" customHeight="1" s="82">
      <c r="A377" s="83" t="n"/>
      <c r="B377" s="163" t="inlineStr">
        <is>
          <t xml:space="preserve">  if (overdue.length) body += sectionCard('Full overdue list', overdue);</t>
        </is>
      </c>
      <c r="C377" s="83" t="n"/>
    </row>
    <row r="378" ht="15" customHeight="1" s="82">
      <c r="A378" s="83" t="n"/>
      <c r="B378" s="163" t="inlineStr">
        <is>
          <t xml:space="preserve">  if (!next30.length &amp;&amp; !overdue.length) body += emptyState('Nothing due in the next 30 days, and nothing overdue. 🎉');</t>
        </is>
      </c>
      <c r="C378" s="83" t="n"/>
    </row>
    <row r="379" ht="15" customHeight="1" s="82">
      <c r="A379" s="83" t="n"/>
      <c r="B379" s="163" t="n"/>
      <c r="C379" s="83" t="n"/>
    </row>
    <row r="380" ht="15" customHeight="1" s="82">
      <c r="A380" s="83" t="n"/>
      <c r="B380" s="163" t="inlineStr">
        <is>
          <t xml:space="preserve">  MailApp.sendEmail({</t>
        </is>
      </c>
      <c r="C380" s="83" t="n"/>
    </row>
    <row r="381" ht="15" customHeight="1" s="82">
      <c r="A381" s="83" t="n"/>
      <c r="B381" s="163" t="inlineStr">
        <is>
          <t xml:space="preserve">    to: to,</t>
        </is>
      </c>
      <c r="C381" s="83" t="n"/>
    </row>
    <row r="382" ht="15" customHeight="1" s="82">
      <c r="A382" s="83" t="n"/>
      <c r="B382" s="163" t="inlineStr">
        <is>
          <t xml:space="preserve">    subject: '🗓️ Weekly Summary — ' + next30.length + ' due within 30 days, ' + overdue.length + ' overdue',</t>
        </is>
      </c>
      <c r="C382" s="83" t="n"/>
    </row>
    <row r="383" ht="15" customHeight="1" s="82">
      <c r="A383" s="83" t="n"/>
      <c r="B383" s="163" t="inlineStr">
        <is>
          <t xml:space="preserve">    htmlBody: emailShell({</t>
        </is>
      </c>
      <c r="C383" s="83" t="n"/>
    </row>
    <row r="384" ht="15" customHeight="1" s="82">
      <c r="A384" s="83" t="n"/>
      <c r="B384" s="163" t="inlineStr">
        <is>
          <t xml:space="preserve">      topRight: next30.length + ' upcoming · ' + overdue.length + ' overdue',</t>
        </is>
      </c>
      <c r="C384" s="83" t="n"/>
    </row>
    <row r="385" ht="15" customHeight="1" s="82">
      <c r="A385" s="83" t="n"/>
      <c r="B385" s="163" t="inlineStr">
        <is>
          <t xml:space="preserve">      emoji: '🗓️', heading: 'Weekly Summary',</t>
        </is>
      </c>
      <c r="C385" s="83" t="n"/>
    </row>
    <row r="386" ht="15" customHeight="1" s="82">
      <c r="A386" s="83" t="n"/>
      <c r="B386" s="163" t="inlineStr">
        <is>
          <t xml:space="preserve">      intro: 'Your fuller view for the week ahead.',</t>
        </is>
      </c>
      <c r="C386" s="83" t="n"/>
    </row>
    <row r="387" ht="15" customHeight="1" s="82">
      <c r="A387" s="83" t="n"/>
      <c r="B387" s="163" t="inlineStr">
        <is>
          <t xml:space="preserve">      bodyHtml: body, recipientEmail: to,</t>
        </is>
      </c>
      <c r="C387" s="83" t="n"/>
    </row>
    <row r="388" ht="15" customHeight="1" s="82">
      <c r="A388" s="83" t="n"/>
      <c r="B388" s="163" t="inlineStr">
        <is>
          <t xml:space="preserve">      gradientFrom: BRAND.burgundy, gradientTo: BRAND.orange,</t>
        </is>
      </c>
      <c r="C388" s="83" t="n"/>
    </row>
    <row r="389" ht="15" customHeight="1" s="82">
      <c r="A389" s="83" t="n"/>
      <c r="B389" s="163" t="inlineStr">
        <is>
          <t xml:space="preserve">      ctaLabel: 'Open Policy Register →', showCta: true</t>
        </is>
      </c>
      <c r="C389" s="83" t="n"/>
    </row>
    <row r="390" ht="15" customHeight="1" s="82">
      <c r="A390" s="83" t="n"/>
      <c r="B390" s="163" t="inlineStr">
        <is>
          <t xml:space="preserve">    })</t>
        </is>
      </c>
      <c r="C390" s="83" t="n"/>
    </row>
    <row r="391" ht="15" customHeight="1" s="82">
      <c r="A391" s="83" t="n"/>
      <c r="B391" s="163" t="inlineStr">
        <is>
          <t xml:space="preserve">  });</t>
        </is>
      </c>
      <c r="C391" s="83" t="n"/>
    </row>
    <row r="392" ht="15" customHeight="1" s="82">
      <c r="A392" s="83" t="n"/>
      <c r="B392" s="163" t="inlineStr">
        <is>
          <t xml:space="preserve">  logActivity('', 'Weekly summary sent', next30.length + ' due within 30 days, ' + overdue.length + ' overdue');</t>
        </is>
      </c>
      <c r="C392" s="83" t="n"/>
    </row>
    <row r="393" ht="15" customHeight="1" s="82">
      <c r="A393" s="83" t="n"/>
      <c r="B393" s="163" t="inlineStr">
        <is>
          <t>}</t>
        </is>
      </c>
      <c r="C393" s="83" t="n"/>
    </row>
    <row r="394" ht="15" customHeight="1" s="82">
      <c r="A394" s="83" t="n"/>
      <c r="B394" s="163" t="n"/>
      <c r="C394" s="83" t="n"/>
    </row>
    <row r="395" ht="15" customHeight="1" s="82">
      <c r="A395" s="83" t="n"/>
      <c r="B395" s="163" t="inlineStr">
        <is>
          <t>// ── MILESTONE ALERT — client-facing, once per policy per threshold</t>
        </is>
      </c>
      <c r="C395" s="83" t="n"/>
    </row>
    <row r="396" ht="15" customHeight="1" s="82">
      <c r="A396" s="83" t="n"/>
      <c r="B396" s="163" t="inlineStr">
        <is>
          <t>//    (60/30/14/7/3/1/0 days out) ──────────────────────────────────</t>
        </is>
      </c>
      <c r="C396" s="83" t="n"/>
    </row>
    <row r="397" ht="15" customHeight="1" s="82">
      <c r="A397" s="83" t="n"/>
      <c r="B397" s="163" t="inlineStr">
        <is>
          <t>function checkMilestones() {</t>
        </is>
      </c>
      <c r="C397" s="83" t="n"/>
    </row>
    <row r="398" ht="15" customHeight="1" s="82">
      <c r="A398" s="83" t="n"/>
      <c r="B398" s="163" t="inlineStr">
        <is>
          <t xml:space="preserve">  const sheet = SpreadsheetApp.getActiveSpreadsheet().getSheetByName(SHEET_NAME);</t>
        </is>
      </c>
      <c r="C398" s="83" t="n"/>
    </row>
    <row r="399" ht="15" customHeight="1" s="82">
      <c r="A399" s="83" t="n"/>
      <c r="B399" s="163" t="inlineStr">
        <is>
          <t xml:space="preserve">  const policies = getOpenPolicies();</t>
        </is>
      </c>
      <c r="C399" s="83" t="n"/>
    </row>
    <row r="400" ht="15" customHeight="1" s="82">
      <c r="A400" s="83" t="n"/>
      <c r="B400" s="163" t="n"/>
      <c r="C400" s="83" t="n"/>
    </row>
    <row r="401" ht="15" customHeight="1" s="82">
      <c r="B401" s="164" t="inlineStr">
        <is>
          <t xml:space="preserve">  policies.forEach(p =&gt; {</t>
        </is>
      </c>
    </row>
    <row r="402" ht="15" customHeight="1" s="82">
      <c r="B402" s="164" t="inlineStr">
        <is>
          <t xml:space="preserve">    if (!MILESTONES.includes(p.daysLeft)) return;</t>
        </is>
      </c>
    </row>
    <row r="403" ht="15" customHeight="1" s="82">
      <c r="B403" s="164" t="inlineStr">
        <is>
          <t xml:space="preserve">    if (p.lastMilestone === p.daysLeft) return; // already sent for this threshold</t>
        </is>
      </c>
    </row>
    <row r="404" ht="15" customHeight="1" s="82">
      <c r="B404" s="164" t="inlineStr">
        <is>
          <t xml:space="preserve">    if (!p.email) return;</t>
        </is>
      </c>
    </row>
    <row r="405" ht="15" customHeight="1" s="82">
      <c r="B405" s="164" t="n"/>
    </row>
    <row r="406" ht="15" customHeight="1" s="82">
      <c r="B406" s="164" t="inlineStr">
        <is>
          <t xml:space="preserve">    const badgeText = p.daysLeft === 0 ? 'due today' : p.daysLeft + ' day(s) away';</t>
        </is>
      </c>
    </row>
    <row r="407" ht="15" customHeight="1" s="82">
      <c r="B407" s="164" t="inlineStr">
        <is>
          <t xml:space="preserve">    const intro = 'A quick reminder that your policy below is ' + badgeText + '.';</t>
        </is>
      </c>
    </row>
    <row r="408" ht="15" customHeight="1" s="82">
      <c r="B408" s="164" t="inlineStr">
        <is>
          <t xml:space="preserve">    const body = sectionCard('', [p]);</t>
        </is>
      </c>
    </row>
    <row r="409" ht="15" customHeight="1" s="82">
      <c r="B409" s="164" t="n"/>
    </row>
    <row r="410" ht="15" customHeight="1" s="82">
      <c r="B410" s="164" t="inlineStr">
        <is>
          <t xml:space="preserve">    MailApp.sendEmail({</t>
        </is>
      </c>
    </row>
    <row r="411" ht="15" customHeight="1" s="82">
      <c r="B411" s="164" t="inlineStr">
        <is>
          <t xml:space="preserve">      to: p.email,</t>
        </is>
      </c>
    </row>
    <row r="412" ht="15" customHeight="1" s="82">
      <c r="B412" s="164" t="inlineStr">
        <is>
          <t xml:space="preserve">      subject: 'Renewal reminder — ' + p.client + ' (' + badgeText + ')',</t>
        </is>
      </c>
    </row>
    <row r="413" ht="15" customHeight="1" s="82">
      <c r="B413" s="164" t="inlineStr">
        <is>
          <t xml:space="preserve">      htmlBody: emailShell({</t>
        </is>
      </c>
    </row>
    <row r="414" ht="15" customHeight="1" s="82">
      <c r="B414" s="164" t="inlineStr">
        <is>
          <t xml:space="preserve">        topRight: 'Policy ' + (p.id || ''),</t>
        </is>
      </c>
    </row>
    <row r="415" ht="15" customHeight="1" s="82">
      <c r="B415" s="164" t="inlineStr">
        <is>
          <t xml:space="preserve">        emoji: '📌', heading: 'Renewal Reminder',</t>
        </is>
      </c>
    </row>
    <row r="416" ht="15" customHeight="1" s="82">
      <c r="B416" s="164" t="inlineStr">
        <is>
          <t xml:space="preserve">        intro: intro, bodyHtml: body, recipientEmail: p.email,</t>
        </is>
      </c>
    </row>
    <row r="417" ht="15" customHeight="1" s="82">
      <c r="B417" s="164" t="inlineStr">
        <is>
          <t xml:space="preserve">        gradientFrom: BRAND.gold, gradientTo: BRAND.orange,</t>
        </is>
      </c>
    </row>
    <row r="418" ht="15" customHeight="1" s="82">
      <c r="B418" s="164" t="inlineStr">
        <is>
          <t xml:space="preserve">        showCta: false // never hand a client a link to the internal sheet</t>
        </is>
      </c>
    </row>
    <row r="419" ht="15" customHeight="1" s="82">
      <c r="B419" s="164" t="inlineStr">
        <is>
          <t xml:space="preserve">      })</t>
        </is>
      </c>
    </row>
    <row r="420" ht="15" customHeight="1" s="82">
      <c r="B420" s="164" t="inlineStr">
        <is>
          <t xml:space="preserve">    });</t>
        </is>
      </c>
    </row>
    <row r="421" ht="15" customHeight="1" s="82">
      <c r="B421" s="164" t="n"/>
    </row>
    <row r="422" ht="15" customHeight="1" s="82">
      <c r="B422" s="164" t="inlineStr">
        <is>
          <t xml:space="preserve">    sheet.getRange(p.row, COL_MILESTONE).setValue(p.daysLeft);</t>
        </is>
      </c>
    </row>
    <row r="423" ht="15" customHeight="1" s="82">
      <c r="B423" s="164" t="inlineStr">
        <is>
          <t xml:space="preserve">    logActivity(p.id, 'Milestone alert sent', badgeText + ' (' + p.daysLeft + ' day threshold)');</t>
        </is>
      </c>
    </row>
    <row r="424" ht="15" customHeight="1" s="82">
      <c r="B424" s="164" t="inlineStr">
        <is>
          <t xml:space="preserve">  });</t>
        </is>
      </c>
    </row>
    <row r="425" ht="15" customHeight="1" s="82">
      <c r="B425" s="164" t="inlineStr">
        <is>
          <t>}</t>
        </is>
      </c>
    </row>
    <row r="426" ht="15" customHeight="1" s="82">
      <c r="B426" s="164" t="n"/>
    </row>
    <row r="427" ht="15" customHeight="1" s="82">
      <c r="B427" s="164" t="inlineStr">
        <is>
          <t>// ── NAME HELPER — turns "jane.doe@yourbrokerage.com" into "Jane" ─────</t>
        </is>
      </c>
    </row>
    <row r="428" ht="15" customHeight="1" s="82">
      <c r="B428" s="164" t="inlineStr">
        <is>
          <t>function nameFromEmail(email) {</t>
        </is>
      </c>
    </row>
    <row r="429" ht="15" customHeight="1" s="82">
      <c r="B429" s="164" t="inlineStr">
        <is>
          <t xml:space="preserve">  if (!email) return 'there';</t>
        </is>
      </c>
    </row>
    <row r="430" ht="15" customHeight="1" s="82">
      <c r="B430" s="164" t="inlineStr">
        <is>
          <t xml:space="preserve">  const local = email.split('@')[0];</t>
        </is>
      </c>
    </row>
    <row r="431" ht="15" customHeight="1" s="82">
      <c r="B431" s="164" t="inlineStr">
        <is>
          <t xml:space="preserve">  const first = local.split(/[._+-]/)[0];</t>
        </is>
      </c>
    </row>
    <row r="432" ht="15" customHeight="1" s="82">
      <c r="B432" s="164" t="inlineStr">
        <is>
          <t xml:space="preserve">  if (!first) return 'there';</t>
        </is>
      </c>
    </row>
    <row r="433" ht="15" customHeight="1" s="82">
      <c r="B433" s="164" t="inlineStr">
        <is>
          <t xml:space="preserve">  return first.charAt(0).toUpperCase() + first.slice(1).toLowerCase();</t>
        </is>
      </c>
    </row>
    <row r="434" ht="15" customHeight="1" s="82">
      <c r="B434" s="164" t="inlineStr">
        <is>
          <t>}</t>
        </is>
      </c>
    </row>
    <row r="435" ht="15" customHeight="1" s="82">
      <c r="B435" s="164" t="n"/>
    </row>
    <row r="436" ht="15" customHeight="1" s="82">
      <c r="B436" s="164" t="inlineStr">
        <is>
          <t>// ══════════════════════════════════════════════════════════════════</t>
        </is>
      </c>
    </row>
    <row r="437" ht="15" customHeight="1" s="82">
      <c r="B437" s="164" t="inlineStr">
        <is>
          <t>//  EMAIL DESIGN SYSTEM — dark gradient header + pill CTA + card</t>
        </is>
      </c>
    </row>
    <row r="438" ht="15" customHeight="1" s="82">
      <c r="B438" s="164" t="inlineStr">
        <is>
          <t>//  sections with label:value rows (inspired by modern lead-notification</t>
        </is>
      </c>
    </row>
    <row r="439" ht="15" customHeight="1" s="82">
      <c r="B439" s="164" t="inlineStr">
        <is>
          <t>//  templates). Built entirely with tables so it survives Gmail/Outlook,</t>
        </is>
      </c>
    </row>
    <row r="440" ht="15" customHeight="1" s="82">
      <c r="B440" s="164" t="inlineStr">
        <is>
          <t>//  stays under 600px, and never forces horizontal scroll on a phone.</t>
        </is>
      </c>
    </row>
    <row r="441" ht="15" customHeight="1" s="82">
      <c r="B441" s="164" t="inlineStr">
        <is>
          <t>// ══════════════════════════════════════════════════════════════════</t>
        </is>
      </c>
    </row>
    <row r="442" ht="15" customHeight="1" s="82">
      <c r="B442" s="164" t="n"/>
    </row>
    <row r="443" ht="15" customHeight="1" s="82">
      <c r="B443" s="164" t="inlineStr">
        <is>
          <t>function emailShell(opts) {</t>
        </is>
      </c>
    </row>
    <row r="444" ht="15" customHeight="1" s="82">
      <c r="B444" s="164" t="inlineStr">
        <is>
          <t xml:space="preserve">  const greetingName = nameFromEmail(opts.recipientEmail);</t>
        </is>
      </c>
    </row>
    <row r="445" ht="15" customHeight="1" s="82">
      <c r="B445" s="164" t="inlineStr">
        <is>
          <t xml:space="preserve">  const sheetUrl = SpreadsheetApp.getActiveSpreadsheet().getUrl();</t>
        </is>
      </c>
    </row>
    <row r="446" ht="15" customHeight="1" s="82">
      <c r="B446" s="164" t="inlineStr">
        <is>
          <t xml:space="preserve">  const dateStr = Utilities.formatDate(new Date(), getTZ(), 'd MMMM yyyy');</t>
        </is>
      </c>
    </row>
    <row r="447" ht="15" customHeight="1" s="82">
      <c r="B447" s="164" t="n"/>
    </row>
    <row r="448" ht="15" customHeight="1" s="82">
      <c r="B448" s="164" t="inlineStr">
        <is>
          <t xml:space="preserve">  const ctaBlock = opts.showCta</t>
        </is>
      </c>
    </row>
    <row r="449" ht="15" customHeight="1" s="82">
      <c r="B449" s="164" t="inlineStr">
        <is>
          <t xml:space="preserve">    ? '&lt;table role="presentation" cellpadding="0" cellspacing="0" style="margin:18px auto 0 auto;"&gt;&lt;tr&gt;&lt;td style="border-radius:999px;background-color:' + BRAND.gold + ';background-image:linear-gradient(135deg,' + BRAND.gold + ',' + BRAND.orange + ');"&gt;' +</t>
        </is>
      </c>
    </row>
    <row r="450" ht="15" customHeight="1" s="82">
      <c r="B450" s="164" t="inlineStr">
        <is>
          <t xml:space="preserve">        '&lt;a href="' + sheetUrl + '" style="display:inline-block;padding:13px 30px;font-family:Arial,sans-serif;font-size:12px;font-weight:bold;letter-spacing:0.5px;color:#FFFFFF;text-decoration:none;text-transform:uppercase;"&gt;' + opts.ctaLabel + '&lt;/a&gt;' +</t>
        </is>
      </c>
    </row>
    <row r="451" ht="15" customHeight="1" s="82">
      <c r="B451" s="164" t="inlineStr">
        <is>
          <t xml:space="preserve">      '&lt;/td&gt;&lt;/tr&gt;&lt;/table&gt;'</t>
        </is>
      </c>
    </row>
    <row r="452" ht="15" customHeight="1" s="82">
      <c r="B452" s="164" t="inlineStr">
        <is>
          <t xml:space="preserve">    : '';</t>
        </is>
      </c>
    </row>
    <row r="453" ht="15" customHeight="1" s="82">
      <c r="B453" s="164" t="n"/>
    </row>
    <row r="454" ht="15" customHeight="1" s="82">
      <c r="B454" s="164" t="inlineStr">
        <is>
          <t xml:space="preserve">  const replyNote = !opts.showCta</t>
        </is>
      </c>
    </row>
    <row r="455" ht="15" customHeight="1" s="82">
      <c r="B455" s="164" t="inlineStr">
        <is>
          <t xml:space="preserve">    ? '&lt;p style="font-family:Arial,sans-serif;font-size:12px;color:' + BRAND.muted + ';text-align:center;margin:16px 0 0 0;"&gt;Questions about this policy? Just reply to this email.&lt;/p&gt;'</t>
        </is>
      </c>
    </row>
    <row r="456" ht="15" customHeight="1" s="82">
      <c r="B456" s="164" t="inlineStr">
        <is>
          <t xml:space="preserve">    : '';</t>
        </is>
      </c>
    </row>
    <row r="457" ht="15" customHeight="1" s="82">
      <c r="B457" s="164" t="n"/>
    </row>
    <row r="458" ht="15" customHeight="1" s="82">
      <c r="B458" s="164" t="inlineStr">
        <is>
          <t xml:space="preserve">  return '&lt;div style="background:#F4EFE6;padding:16px;"&gt;' +</t>
        </is>
      </c>
    </row>
    <row r="459" ht="15" customHeight="1" s="82">
      <c r="B459" s="164" t="inlineStr">
        <is>
          <t xml:space="preserve">    '&lt;table role="presentation" width="100%" cellpadding="0" cellspacing="0" style="width:100%;max-width:600px;margin:0 auto;background:#FFFFFF;border-radius:14px;overflow:hidden;border:1px solid ' + BRAND.line + ';"&gt;' +</t>
        </is>
      </c>
    </row>
    <row r="460" ht="15" customHeight="1" s="82">
      <c r="B460" s="164" t="n"/>
    </row>
    <row r="461" ht="15" customHeight="1" s="82">
      <c r="B461" s="164" t="inlineStr">
        <is>
          <t xml:space="preserve">      // ── slim top bar ──</t>
        </is>
      </c>
    </row>
    <row r="462" ht="15" customHeight="1" s="82">
      <c r="B462" s="164" t="inlineStr">
        <is>
          <t xml:space="preserve">      '&lt;tr&gt;&lt;td style="background-color:' + BRAND.chocolate + ';padding:10px 20px;"&gt;' +</t>
        </is>
      </c>
    </row>
    <row r="463" ht="15" customHeight="1" s="82">
      <c r="B463" s="164" t="inlineStr">
        <is>
          <t xml:space="preserve">        '&lt;table role="presentation" width="100%" cellpadding="0" cellspacing="0"&gt;&lt;tr&gt;' +</t>
        </is>
      </c>
    </row>
    <row r="464" ht="15" customHeight="1" s="82">
      <c r="B464" s="164" t="inlineStr">
        <is>
          <t xml:space="preserve">          '&lt;td style="font-family:Arial,sans-serif;font-size:10px;letter-spacing:1px;color:' + BRAND.cream + ';text-transform:uppercase;"&gt;Your Brokerage Name&lt;/td&gt;' +</t>
        </is>
      </c>
    </row>
    <row r="465" ht="15" customHeight="1" s="82">
      <c r="B465" s="164" t="inlineStr">
        <is>
          <t xml:space="preserve">          '&lt;td style="text-align:right;font-family:Arial,sans-serif;font-size:10px;color:' + BRAND.cream + ';white-space:nowrap;"&gt;' + escapeHtml(opts.topRight || dateStr) + '&lt;/td&gt;' +</t>
        </is>
      </c>
    </row>
    <row r="466" ht="15" customHeight="1" s="82">
      <c r="B466" s="164" t="inlineStr">
        <is>
          <t xml:space="preserve">        '&lt;/tr&gt;&lt;/table&gt;' +</t>
        </is>
      </c>
    </row>
    <row r="467" ht="15" customHeight="1" s="82">
      <c r="B467" s="164" t="inlineStr">
        <is>
          <t xml:space="preserve">      '&lt;/td&gt;&lt;/tr&gt;' +</t>
        </is>
      </c>
    </row>
    <row r="468" ht="15" customHeight="1" s="82">
      <c r="B468" s="164" t="n"/>
    </row>
    <row r="469" ht="15" customHeight="1" s="82">
      <c r="B469" s="164" t="inlineStr">
        <is>
          <t xml:space="preserve">      // ── gradient hero ──</t>
        </is>
      </c>
    </row>
    <row r="470" ht="15" customHeight="1" s="82">
      <c r="B470" s="164" t="inlineStr">
        <is>
          <t xml:space="preserve">      '&lt;tr&gt;&lt;td style="background-color:' + opts.gradientFrom + ';background-image:linear-gradient(135deg,' + opts.gradientFrom + ',' + opts.gradientTo + ');padding:34px 24px;text-align:center;"&gt;' +</t>
        </is>
      </c>
    </row>
    <row r="471" ht="15" customHeight="1" s="82">
      <c r="B471" s="164" t="inlineStr">
        <is>
          <t xml:space="preserve">        '&lt;div style="width:46px;height:46px;line-height:46px;border-radius:50%;background:rgba(255,255,255,0.18);color:#FFFFFF;font-family:Arial,sans-serif;font-weight:bold;font-size:16px;text-align:center;margin:0 auto 14px auto;"&gt;BC&lt;/div&gt;' +</t>
        </is>
      </c>
    </row>
    <row r="472" ht="15" customHeight="1" s="82">
      <c r="B472" s="164" t="inlineStr">
        <is>
          <t xml:space="preserve">        '&lt;div style="font-family:Arial,sans-serif;font-size:22px;font-weight:bold;color:#FFFFFF;"&gt;' + opts.emoji + ' ' + escapeHtml(opts.heading) + '&lt;/div&gt;' +</t>
        </is>
      </c>
    </row>
    <row r="473" ht="15" customHeight="1" s="82">
      <c r="B473" s="164" t="inlineStr">
        <is>
          <t xml:space="preserve">        '&lt;div style="font-family:Arial,sans-serif;font-size:13px;color:' + BRAND.cream + ';margin-top:8px;max-width:420px;margin-left:auto;margin-right:auto;"&gt;Hi ' + escapeHtml(greetingName) + ' — ' + opts.intro + '&lt;/div&gt;' +</t>
        </is>
      </c>
    </row>
    <row r="474" ht="15" customHeight="1" s="82">
      <c r="B474" s="164" t="inlineStr">
        <is>
          <t xml:space="preserve">        ctaBlock +</t>
        </is>
      </c>
    </row>
    <row r="475" ht="15" customHeight="1" s="82">
      <c r="B475" s="164" t="inlineStr">
        <is>
          <t xml:space="preserve">      '&lt;/td&gt;&lt;/tr&gt;' +</t>
        </is>
      </c>
    </row>
    <row r="476" ht="15" customHeight="1" s="82">
      <c r="B476" s="164" t="n"/>
    </row>
    <row r="477" ht="15" customHeight="1" s="82">
      <c r="B477" s="164" t="inlineStr">
        <is>
          <t xml:space="preserve">      // ── body ──</t>
        </is>
      </c>
    </row>
    <row r="478" ht="15" customHeight="1" s="82">
      <c r="B478" s="164" t="inlineStr">
        <is>
          <t xml:space="preserve">      '&lt;tr&gt;&lt;td style="padding:20px;"&gt;' +</t>
        </is>
      </c>
    </row>
    <row r="479" ht="15" customHeight="1" s="82">
      <c r="B479" s="164" t="inlineStr">
        <is>
          <t xml:space="preserve">        opts.bodyHtml +</t>
        </is>
      </c>
    </row>
    <row r="480" ht="15" customHeight="1" s="82">
      <c r="B480" s="164" t="inlineStr">
        <is>
          <t xml:space="preserve">        replyNote +</t>
        </is>
      </c>
    </row>
    <row r="481" ht="15" customHeight="1" s="82">
      <c r="B481" s="164" t="inlineStr">
        <is>
          <t xml:space="preserve">      '&lt;/td&gt;&lt;/tr&gt;' +</t>
        </is>
      </c>
    </row>
    <row r="482" ht="15" customHeight="1" s="82">
      <c r="B482" s="164" t="n"/>
    </row>
    <row r="483" ht="15" customHeight="1" s="82">
      <c r="B483" s="164" t="inlineStr">
        <is>
          <t xml:space="preserve">      // ── footer ──</t>
        </is>
      </c>
    </row>
    <row r="484" ht="15" customHeight="1" s="82">
      <c r="B484" s="164" t="inlineStr">
        <is>
          <t xml:space="preserve">      '&lt;tr&gt;&lt;td style="background:' + BRAND.paper + ';padding:16px 20px;border-top:1px solid ' + BRAND.line + ';"&gt;' +</t>
        </is>
      </c>
    </row>
    <row r="485" ht="15" customHeight="1" s="82">
      <c r="B485" s="164" t="inlineStr">
        <is>
          <t xml:space="preserve">        '&lt;div style="font-family:Arial,sans-serif;font-size:12px;font-weight:bold;color:' + BRAND.chocolate + ';"&gt;Insurance Policy Renewal Tracker PRO&lt;/div&gt;' +</t>
        </is>
      </c>
    </row>
    <row r="486" ht="15" customHeight="1" s="82">
      <c r="B486" s="164" t="inlineStr">
        <is>
          <t xml:space="preserve">        '&lt;div style="font-family:Arial,sans-serif;font-size:11px;color:' + BRAND.muted + ';"&gt;Automated Renewal Notification · Powered by Google Workspace&lt;/div&gt;' +</t>
        </is>
      </c>
    </row>
    <row r="487" ht="15" customHeight="1" s="82">
      <c r="B487" s="164" t="inlineStr">
        <is>
          <t xml:space="preserve">      '&lt;/td&gt;&lt;/tr&gt;' +</t>
        </is>
      </c>
    </row>
    <row r="488" ht="15" customHeight="1" s="82">
      <c r="B488" s="164" t="inlineStr">
        <is>
          <t xml:space="preserve">    '&lt;/table&gt;' +</t>
        </is>
      </c>
    </row>
    <row r="489" ht="15" customHeight="1" s="82">
      <c r="B489" s="164" t="inlineStr">
        <is>
          <t xml:space="preserve">  '&lt;/div&gt;';</t>
        </is>
      </c>
    </row>
    <row r="490" ht="15" customHeight="1" s="82">
      <c r="B490" s="164" t="inlineStr">
        <is>
          <t>}</t>
        </is>
      </c>
    </row>
    <row r="491" ht="15" customHeight="1" s="82">
      <c r="B491" s="164" t="n"/>
    </row>
    <row r="492" ht="15" customHeight="1" s="82">
      <c r="B492" s="164" t="inlineStr">
        <is>
          <t>// Three little stat pills across the top of team emails.</t>
        </is>
      </c>
    </row>
    <row r="493" ht="15" customHeight="1" s="82">
      <c r="B493" s="164" t="inlineStr">
        <is>
          <t>function statChips(dueTodayCount, overdueCount, otherCount) {</t>
        </is>
      </c>
    </row>
    <row r="494" ht="15" customHeight="1" s="82">
      <c r="B494" s="164" t="inlineStr">
        <is>
          <t xml:space="preserve">  const chip = (label, value, color) =&gt;</t>
        </is>
      </c>
    </row>
    <row r="495" ht="15" customHeight="1" s="82">
      <c r="B495" s="164" t="inlineStr">
        <is>
          <t xml:space="preserve">    '&lt;td style="width:33.3%;padding:4px;"&gt;' +</t>
        </is>
      </c>
    </row>
    <row r="496" ht="15" customHeight="1" s="82">
      <c r="B496" s="164" t="inlineStr">
        <is>
          <t xml:space="preserve">      '&lt;table role="presentation" width="100%" cellpadding="0" cellspacing="0" style="background:' + BRAND.paper + ';border:1px solid ' + BRAND.line + ';border-radius:10px;"&gt;&lt;tr&gt;&lt;td style="padding:12px 6px;text-align:center;"&gt;' +</t>
        </is>
      </c>
    </row>
    <row r="497" ht="15" customHeight="1" s="82">
      <c r="B497" s="164" t="inlineStr">
        <is>
          <t xml:space="preserve">        '&lt;div style="font-family:Arial,sans-serif;font-size:22px;font-weight:bold;color:' + color + ';"&gt;' + value + '&lt;/div&gt;' +</t>
        </is>
      </c>
    </row>
    <row r="498" ht="15" customHeight="1" s="82">
      <c r="B498" s="164" t="inlineStr">
        <is>
          <t xml:space="preserve">        '&lt;div style="font-family:Arial,sans-serif;font-size:9px;color:' + BRAND.muted + ';text-transform:uppercase;letter-spacing:0.5px;"&gt;' + label + '&lt;/div&gt;' +</t>
        </is>
      </c>
    </row>
    <row r="499" ht="15" customHeight="1" s="82">
      <c r="B499" s="164" t="inlineStr">
        <is>
          <t xml:space="preserve">      '&lt;/td&gt;&lt;/tr&gt;&lt;/table&gt;' +</t>
        </is>
      </c>
    </row>
    <row r="500" ht="15" customHeight="1" s="82">
      <c r="B500" s="164" t="inlineStr">
        <is>
          <t xml:space="preserve">    '&lt;/td&gt;';</t>
        </is>
      </c>
    </row>
    <row r="501" ht="15" customHeight="1" s="82">
      <c r="B501" s="164" t="inlineStr">
        <is>
          <t xml:space="preserve">  return '&lt;table role="presentation" width="100%" cellpadding="0" cellspacing="0" style="width:100%;margin-bottom:6px;"&gt;&lt;tr&gt;' +</t>
        </is>
      </c>
    </row>
    <row r="502" ht="15" customHeight="1" s="82">
      <c r="B502" s="164" t="inlineStr">
        <is>
          <t xml:space="preserve">    chip('Due today', dueTodayCount, BRAND.chocolate) +</t>
        </is>
      </c>
    </row>
    <row r="503" ht="15" customHeight="1" s="82">
      <c r="B503" s="164" t="inlineStr">
        <is>
          <t xml:space="preserve">    chip('Overdue', overdueCount, BRAND.burgundy) +</t>
        </is>
      </c>
    </row>
    <row r="504" ht="15" customHeight="1" s="82">
      <c r="B504" s="164" t="inlineStr">
        <is>
          <t xml:space="preserve">    chip('Coming up', otherCount, BRAND.gold) +</t>
        </is>
      </c>
    </row>
    <row r="505" ht="15" customHeight="1" s="82">
      <c r="B505" s="164" t="inlineStr">
        <is>
          <t xml:space="preserve">    '&lt;/tr&gt;&lt;/table&gt;';</t>
        </is>
      </c>
    </row>
    <row r="506" ht="15" customHeight="1" s="82">
      <c r="B506" s="164" t="inlineStr">
        <is>
          <t>}</t>
        </is>
      </c>
    </row>
    <row r="507" ht="15" customHeight="1" s="82">
      <c r="B507" s="164" t="n"/>
    </row>
    <row r="508" ht="15" customHeight="1" s="82">
      <c r="B508" s="164" t="inlineStr">
        <is>
          <t>function emptyState(message) {</t>
        </is>
      </c>
    </row>
    <row r="509" ht="15" customHeight="1" s="82">
      <c r="B509" s="164" t="inlineStr">
        <is>
          <t xml:space="preserve">  return '&lt;table role="presentation" width="100%" cellpadding="0" cellspacing="0" style="width:100%;margin-top:12px;"&gt;&lt;tr&gt;&lt;td style="padding:18px;text-align:center;background:' + BRAND.paper + ';border:1px dashed ' + BRAND.line + ';border-radius:10px;font-family:Arial,sans-serif;font-size:13px;color:' + BRAND.muted + ';"&gt;' + escapeHtml(message) + '&lt;/td&gt;&lt;/tr&gt;&lt;/table&gt;';</t>
        </is>
      </c>
    </row>
    <row r="510" ht="15" customHeight="1" s="82">
      <c r="B510" s="164" t="inlineStr">
        <is>
          <t>}</t>
        </is>
      </c>
    </row>
    <row r="511" ht="15" customHeight="1" s="82">
      <c r="B511" s="164" t="n"/>
    </row>
    <row r="512" ht="15" customHeight="1" s="82">
      <c r="B512" s="164" t="inlineStr">
        <is>
          <t>// A titled card containing one or more policy rows, styled like a</t>
        </is>
      </c>
    </row>
    <row r="513" ht="15" customHeight="1" s="82">
      <c r="B513" s="164" t="inlineStr">
        <is>
          <t>// lead-notification "information card": dark header strip, clean</t>
        </is>
      </c>
    </row>
    <row r="514" ht="15" customHeight="1" s="82">
      <c r="B514" s="164" t="inlineStr">
        <is>
          <t>// label:value rows underneath, alternating row shading.</t>
        </is>
      </c>
    </row>
    <row r="515" ht="15" customHeight="1" s="82">
      <c r="B515" s="164" t="inlineStr">
        <is>
          <t>function sectionCard(title, policies) {</t>
        </is>
      </c>
    </row>
    <row r="516" ht="15" customHeight="1" s="82">
      <c r="B516" s="164" t="inlineStr">
        <is>
          <t xml:space="preserve">  const titleHtml = title</t>
        </is>
      </c>
    </row>
    <row r="517" ht="15" customHeight="1" s="82">
      <c r="B517" s="164" t="inlineStr">
        <is>
          <t xml:space="preserve">    ? '&lt;p style="font-family:Arial,sans-serif;font-size:12px;font-weight:bold;color:' + BRAND.chocolate + ';text-transform:uppercase;letter-spacing:0.5px;margin:18px 0 8px 0;"&gt;' + escapeHtml(title) + '&lt;/p&gt;'</t>
        </is>
      </c>
    </row>
    <row r="518" ht="15" customHeight="1" s="82">
      <c r="B518" s="164" t="inlineStr">
        <is>
          <t xml:space="preserve">    : '';</t>
        </is>
      </c>
    </row>
    <row r="519" ht="15" customHeight="1" s="82">
      <c r="B519" s="164" t="n"/>
    </row>
    <row r="520" ht="15" customHeight="1" s="82">
      <c r="B520" s="164" t="inlineStr">
        <is>
          <t xml:space="preserve">  let cards = '';</t>
        </is>
      </c>
    </row>
    <row r="521" ht="15" customHeight="1" s="82">
      <c r="B521" s="164" t="inlineStr">
        <is>
          <t xml:space="preserve">  policies.forEach(p =&gt; {</t>
        </is>
      </c>
    </row>
    <row r="522" ht="15" customHeight="1" s="82">
      <c r="B522" s="164" t="inlineStr">
        <is>
          <t xml:space="preserve">    cards += policyCard(p);</t>
        </is>
      </c>
    </row>
    <row r="523" ht="15" customHeight="1" s="82">
      <c r="B523" s="164" t="inlineStr">
        <is>
          <t xml:space="preserve">  });</t>
        </is>
      </c>
    </row>
    <row r="524" ht="15" customHeight="1" s="82">
      <c r="B524" s="164" t="n"/>
    </row>
    <row r="525" ht="15" customHeight="1" s="82">
      <c r="B525" s="164" t="inlineStr">
        <is>
          <t xml:space="preserve">  return titleHtml + cards;</t>
        </is>
      </c>
    </row>
    <row r="526" ht="15" customHeight="1" s="82">
      <c r="B526" s="164" t="inlineStr">
        <is>
          <t>}</t>
        </is>
      </c>
    </row>
    <row r="527" ht="15" customHeight="1" s="82">
      <c r="B527" s="164" t="n"/>
    </row>
    <row r="528" ht="15" customHeight="1" s="82">
      <c r="B528" s="164" t="inlineStr">
        <is>
          <t>function policyCard(p) {</t>
        </is>
      </c>
    </row>
    <row r="529" ht="15" customHeight="1" s="82">
      <c r="B529" s="164" t="inlineStr">
        <is>
          <t xml:space="preserve">  const dueStr = Utilities.formatDate(p.due, getTZ(), 'd MMM yyyy');</t>
        </is>
      </c>
    </row>
    <row r="530" ht="15" customHeight="1" s="82">
      <c r="B530" s="164" t="inlineStr">
        <is>
          <t xml:space="preserve">  const badgeColor = p.daysLeft &lt; 0 ? BRAND.burgundy : (p.daysLeft &lt;= 7 ? BRAND.orange : BRAND.gold);</t>
        </is>
      </c>
    </row>
    <row r="531" ht="15" customHeight="1" s="82">
      <c r="B531" s="164" t="inlineStr">
        <is>
          <t xml:space="preserve">  const badgeText = p.daysLeft &lt; 0 ? Math.abs(p.daysLeft) + ' days overdue'</t>
        </is>
      </c>
    </row>
    <row r="532" ht="15" customHeight="1" s="82">
      <c r="B532" s="164" t="inlineStr">
        <is>
          <t xml:space="preserve">                    : (p.daysLeft === 0 ? 'Due today' : p.daysLeft + ' day(s) left');</t>
        </is>
      </c>
    </row>
    <row r="533" ht="15" customHeight="1" s="82">
      <c r="B533" s="164" t="n"/>
    </row>
    <row r="534" ht="15" customHeight="1" s="82">
      <c r="B534" s="164" t="inlineStr">
        <is>
          <t xml:space="preserve">  const fieldRow = (label, value, isLast) =&gt;</t>
        </is>
      </c>
    </row>
    <row r="535" ht="15" customHeight="1" s="82">
      <c r="B535" s="164" t="inlineStr">
        <is>
          <t xml:space="preserve">    '&lt;tr&gt;' +</t>
        </is>
      </c>
    </row>
    <row r="536" ht="15" customHeight="1" s="82">
      <c r="B536" s="164" t="inlineStr">
        <is>
          <t xml:space="preserve">      '&lt;td style="padding:9px 14px;width:38%;font-family:Arial,sans-serif;font-size:11px;color:' + BRAND.muted + ';text-transform:uppercase;letter-spacing:0.3px;vertical-align:top;' + (isLast ? '' : 'border-bottom:1px solid ' + BRAND.line + ';') + '"&gt;' + label + '&lt;/td&gt;' +</t>
        </is>
      </c>
    </row>
    <row r="537" ht="15" customHeight="1" s="82">
      <c r="B537" s="164" t="inlineStr">
        <is>
          <t xml:space="preserve">      '&lt;td style="padding:9px 14px;font-family:Arial,sans-serif;font-size:13px;font-weight:bold;color:' + BRAND.chocolate + ';word-break:break-word;overflow-wrap:break-word;vertical-align:top;' + (isLast ? '' : 'border-bottom:1px solid ' + BRAND.line + ';') + '"&gt;' + value + '&lt;/td&gt;' +</t>
        </is>
      </c>
    </row>
    <row r="538" ht="15" customHeight="1" s="82">
      <c r="B538" s="164" t="inlineStr">
        <is>
          <t xml:space="preserve">    '&lt;/tr&gt;';</t>
        </is>
      </c>
    </row>
    <row r="539" ht="15" customHeight="1" s="82">
      <c r="B539" s="164" t="n"/>
    </row>
    <row r="540" ht="15" customHeight="1" s="82">
      <c r="B540" s="164" t="inlineStr">
        <is>
          <t xml:space="preserve">  return '&lt;table role="presentation" width="100%" cellpadding="0" cellspacing="0" style="width:100%;max-width:100%;margin-bottom:12px;background:#FFFFFF;border:1px solid ' + BRAND.line + ';border-radius:10px;overflow:hidden;"&gt;' +</t>
        </is>
      </c>
    </row>
    <row r="541" ht="15" customHeight="1" s="82">
      <c r="B541" s="164" t="inlineStr">
        <is>
          <t xml:space="preserve">    // header strip</t>
        </is>
      </c>
    </row>
    <row r="542" ht="15" customHeight="1" s="82">
      <c r="B542" s="164" t="inlineStr">
        <is>
          <t xml:space="preserve">    '&lt;tr&gt;&lt;td style="background:' + BRAND.chocolate + ';padding:10px 14px;"&gt;' +</t>
        </is>
      </c>
    </row>
    <row r="543" ht="15" customHeight="1" s="82">
      <c r="B543" s="164" t="inlineStr">
        <is>
          <t xml:space="preserve">      '&lt;table role="presentation" width="100%" cellpadding="0" cellspacing="0"&gt;&lt;tr&gt;' +</t>
        </is>
      </c>
    </row>
    <row r="544" ht="15" customHeight="1" s="82">
      <c r="B544" s="164" t="inlineStr">
        <is>
          <t xml:space="preserve">        '&lt;td style="font-family:Arial,sans-serif;font-size:14px;font-weight:bold;color:#FFFFFF;word-break:break-word;"&gt;' + escapeHtml(p.client) + '&lt;/td&gt;' +</t>
        </is>
      </c>
    </row>
    <row r="545" ht="15" customHeight="1" s="82">
      <c r="B545" s="164" t="inlineStr">
        <is>
          <t xml:space="preserve">        '&lt;td style="text-align:right;white-space:nowrap;"&gt;' +</t>
        </is>
      </c>
    </row>
    <row r="546" ht="15" customHeight="1" s="82">
      <c r="B546" s="164" t="inlineStr">
        <is>
          <t xml:space="preserve">          '&lt;span style="background:' + badgeColor + ';color:#FFFFFF;font-family:Arial,sans-serif;font-size:10px;font-weight:bold;padding:3px 9px;border-radius:12px;display:inline-block;"&gt;' + badgeText + '&lt;/span&gt;' +</t>
        </is>
      </c>
    </row>
    <row r="547" ht="15" customHeight="1" s="82">
      <c r="B547" s="164" t="inlineStr">
        <is>
          <t xml:space="preserve">        '&lt;/td&gt;' +</t>
        </is>
      </c>
    </row>
    <row r="548" ht="15" customHeight="1" s="82">
      <c r="B548" s="164" t="inlineStr">
        <is>
          <t xml:space="preserve">      '&lt;/tr&gt;&lt;/table&gt;' +</t>
        </is>
      </c>
    </row>
    <row r="549" ht="15" customHeight="1" s="82">
      <c r="B549" s="164" t="inlineStr">
        <is>
          <t xml:space="preserve">    '&lt;/td&gt;&lt;/tr&gt;' +</t>
        </is>
      </c>
    </row>
    <row r="550" ht="15" customHeight="1" s="82">
      <c r="B550" s="164" t="inlineStr">
        <is>
          <t xml:space="preserve">    // body rows</t>
        </is>
      </c>
    </row>
    <row r="551" ht="15" customHeight="1" s="82">
      <c r="B551" s="164" t="inlineStr">
        <is>
          <t xml:space="preserve">    '&lt;tr&gt;&lt;td&gt;' +</t>
        </is>
      </c>
    </row>
    <row r="552" ht="15" customHeight="1" s="82">
      <c r="B552" s="164" t="inlineStr">
        <is>
          <t xml:space="preserve">      '&lt;table role="presentation" width="100%" cellpadding="0" cellspacing="0" style="width:100%;"&gt;' +</t>
        </is>
      </c>
    </row>
    <row r="553" ht="15" customHeight="1" s="82">
      <c r="B553" s="164" t="inlineStr">
        <is>
          <t xml:space="preserve">        fieldRow('Class', escapeHtml(p.cls || '-'), false) +</t>
        </is>
      </c>
    </row>
    <row r="554" ht="15" customHeight="1" s="82">
      <c r="B554" s="164" t="inlineStr">
        <is>
          <t xml:space="preserve">        fieldRow('Description', escapeHtml(p.desc || '-'), false) +</t>
        </is>
      </c>
    </row>
    <row r="555" ht="15" customHeight="1" s="82">
      <c r="B555" s="164" t="inlineStr">
        <is>
          <t xml:space="preserve">        fieldRow('Due date', dueStr, true) +</t>
        </is>
      </c>
    </row>
    <row r="556" ht="15" customHeight="1" s="82">
      <c r="B556" s="164" t="inlineStr">
        <is>
          <t xml:space="preserve">      '&lt;/table&gt;' +</t>
        </is>
      </c>
    </row>
    <row r="557" ht="15" customHeight="1" s="82">
      <c r="B557" s="164" t="inlineStr">
        <is>
          <t xml:space="preserve">    '&lt;/td&gt;&lt;/tr&gt;' +</t>
        </is>
      </c>
    </row>
    <row r="558" ht="15" customHeight="1" s="82">
      <c r="B558" s="164" t="inlineStr">
        <is>
          <t xml:space="preserve">  '&lt;/table&gt;';</t>
        </is>
      </c>
    </row>
    <row r="559" ht="15" customHeight="1" s="82">
      <c r="B559" s="164" t="inlineStr">
        <is>
          <t>}</t>
        </is>
      </c>
    </row>
    <row r="560" ht="15" customHeight="1" s="82">
      <c r="B560" s="164" t="n"/>
    </row>
    <row r="561" ht="15" customHeight="1" s="82">
      <c r="B561" s="164" t="inlineStr">
        <is>
          <t>function escapeHtml(str) {</t>
        </is>
      </c>
    </row>
    <row r="562" ht="15" customHeight="1" s="82">
      <c r="B562" s="164" t="inlineStr">
        <is>
          <t xml:space="preserve">  return String(str || '').replace(/&amp;/g,'&amp;amp;').replace(/&lt;/g,'&amp;lt;').replace(/&gt;/g,'&amp;gt;');</t>
        </is>
      </c>
    </row>
    <row r="563" ht="15" customHeight="1" s="82">
      <c r="B563" s="164" t="inlineStr">
        <is>
          <t>}</t>
        </is>
      </c>
    </row>
    <row r="564" ht="15" customHeight="1" s="82">
      <c r="B564" s="164" t="n"/>
    </row>
    <row r="565" ht="15" customHeight="1" s="82">
      <c r="B565" s="164" t="inlineStr">
        <is>
          <t>// ── ACTIVITY LOG ───────────────────────────────────────────────────</t>
        </is>
      </c>
    </row>
    <row r="566" ht="15" customHeight="1" s="82">
      <c r="B566" s="164" t="inlineStr">
        <is>
          <t>function logActivity(policyId, action, notes) {</t>
        </is>
      </c>
    </row>
    <row r="567" ht="15" customHeight="1" s="82">
      <c r="B567" s="164" t="inlineStr">
        <is>
          <t xml:space="preserve">  const sheet = SpreadsheetApp.getActiveSpreadsheet().getSheetByName(LOG_SHEET);</t>
        </is>
      </c>
    </row>
    <row r="568" ht="15" customHeight="1" s="82">
      <c r="B568" s="164" t="inlineStr">
        <is>
          <t xml:space="preserve">  if (!sheet) return;</t>
        </is>
      </c>
    </row>
    <row r="569" ht="15" customHeight="1" s="82">
      <c r="B569" s="164" t="inlineStr">
        <is>
          <t xml:space="preserve">  const nextRow = sheet.getLastRow() + 1;</t>
        </is>
      </c>
    </row>
    <row r="570" ht="15" customHeight="1" s="82">
      <c r="B570" s="164" t="inlineStr">
        <is>
          <t xml:space="preserve">  const row = Math.max(nextRow, 5);</t>
        </is>
      </c>
    </row>
    <row r="571" ht="15" customHeight="1" s="82">
      <c r="B571" s="164" t="inlineStr">
        <is>
          <t xml:space="preserve">  sheet.getRange(row, 2, 1, 4).setValues([[new Date(), policyId || '', action, notes || '']]);</t>
        </is>
      </c>
    </row>
    <row r="572" ht="15" customHeight="1" s="82">
      <c r="B572" s="164" t="inlineStr">
        <is>
          <t>}</t>
        </is>
      </c>
    </row>
    <row r="573" ht="15" customHeight="1" s="82">
      <c r="B573" s="164" t="n"/>
    </row>
  </sheetData>
  <mergeCells count="2">
    <mergeCell ref="A3:B3"/>
    <mergeCell ref="A2:B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2026-07-28T07:41:35Z</dcterms:created>
  <dcterms:modified xmlns:dcterms="http://purl.org/dc/terms/" xmlns:xsi="http://www.w3.org/2001/XMLSchema-instance" xsi:type="dcterms:W3CDTF">2026-10-06T11:49:22Z</dcterms:modified>
  <cp:revision>3</cp:revision>
</cp:coreProperties>
</file>